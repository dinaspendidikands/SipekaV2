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Claude\Projects\4. Penilaian Kinerja Kepala Sekolah\"/>
    </mc:Choice>
  </mc:AlternateContent>
  <xr:revisionPtr revIDLastSave="0" documentId="13_ncr:1_{70E81330-5A1E-435A-A6EB-9BA4A4F2F566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format rapor" sheetId="1" r:id="rId1"/>
    <sheet name="data penilaian KS SD dan SMP" sheetId="2" r:id="rId2"/>
    <sheet name="Data penilaian KS Paud" sheetId="3" r:id="rId3"/>
    <sheet name="Data penilaian Guru" sheetId="4" r:id="rId4"/>
    <sheet name="rapor guru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5" l="1"/>
  <c r="G15" i="5"/>
  <c r="G14" i="5"/>
  <c r="G13" i="5"/>
  <c r="G12" i="5"/>
  <c r="G11" i="5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DN1" i="2"/>
  <c r="DM1" i="2"/>
  <c r="DL1" i="2"/>
  <c r="DK1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D52" i="1"/>
  <c r="A52" i="1"/>
  <c r="D48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H33" i="1"/>
  <c r="G33" i="1"/>
  <c r="F33" i="1"/>
  <c r="E33" i="1"/>
  <c r="D33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H29" i="1"/>
  <c r="G29" i="1"/>
  <c r="F29" i="1"/>
  <c r="E29" i="1"/>
  <c r="D29" i="1"/>
  <c r="H28" i="1"/>
  <c r="G28" i="1"/>
  <c r="F28" i="1"/>
  <c r="E28" i="1"/>
  <c r="D28" i="1"/>
  <c r="H27" i="1"/>
  <c r="G27" i="1"/>
  <c r="F27" i="1"/>
  <c r="E27" i="1"/>
  <c r="D27" i="1"/>
  <c r="H26" i="1"/>
  <c r="G26" i="1"/>
  <c r="F26" i="1"/>
  <c r="E26" i="1"/>
  <c r="D26" i="1"/>
  <c r="H25" i="1"/>
  <c r="G25" i="1"/>
  <c r="F25" i="1"/>
  <c r="E25" i="1"/>
  <c r="D25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F10" i="1"/>
  <c r="F7" i="1"/>
  <c r="E23" i="5" l="1"/>
  <c r="G16" i="5"/>
  <c r="H16" i="5" s="1"/>
  <c r="H15" i="5"/>
  <c r="H14" i="5"/>
  <c r="H13" i="5"/>
  <c r="H12" i="5"/>
  <c r="H11" i="5"/>
  <c r="DD2" i="3" a="1"/>
  <c r="DC2" i="3" a="1"/>
  <c r="DB2" i="3" a="1"/>
  <c r="CZ2" i="3" a="1"/>
  <c r="CY2" i="3" a="1"/>
  <c r="CX2" i="3" a="1"/>
  <c r="CV2" i="3" a="1"/>
  <c r="CI2" i="3" a="1"/>
  <c r="CH2" i="3" a="1"/>
  <c r="CD2" i="3" a="1"/>
  <c r="CR2" i="3" a="1"/>
  <c r="CP2" i="3" a="1"/>
  <c r="CN2" i="3" a="1"/>
  <c r="CF2" i="3" a="1"/>
  <c r="CL2" i="3" a="1"/>
  <c r="CE2" i="3" a="1"/>
  <c r="CQ2" i="3" a="1"/>
  <c r="CM2" i="3" a="1"/>
  <c r="CJ2" i="3" a="1"/>
  <c r="CT2" i="3" a="1"/>
  <c r="CU2" i="3" a="1"/>
  <c r="DO2" i="2" a="1"/>
  <c r="EC2" i="2" a="1"/>
  <c r="EP2" i="2" a="1"/>
  <c r="DT2" i="2" a="1"/>
  <c r="EL2" i="2" a="1"/>
  <c r="ED2" i="2" a="1"/>
  <c r="DR2" i="2" a="1"/>
  <c r="EG2" i="2" a="1"/>
  <c r="DQ2" i="2" a="1"/>
  <c r="EN2" i="2" a="1"/>
  <c r="DU2" i="2" a="1"/>
  <c r="EO2" i="2" a="1"/>
  <c r="DZ2" i="2" a="1"/>
  <c r="EF2" i="2" a="1"/>
  <c r="DX2" i="2" a="1"/>
  <c r="DY2" i="2" a="1"/>
  <c r="DP2" i="2" a="1"/>
  <c r="EH2" i="2" a="1"/>
  <c r="EB2" i="2" a="1"/>
  <c r="EJ2" i="2" a="1"/>
  <c r="DV2" i="2" a="1"/>
  <c r="EK2" i="2" a="1"/>
  <c r="DO10" i="2"/>
  <c r="DO9" i="2"/>
  <c r="DO8" i="2"/>
  <c r="DO7" i="2"/>
  <c r="DO6" i="2"/>
  <c r="DO5" i="2"/>
  <c r="DO4" i="2"/>
  <c r="DO3" i="2"/>
  <c r="DO2" i="2"/>
  <c r="E42" i="1"/>
  <c r="D42" i="1"/>
  <c r="F42" i="1"/>
  <c r="DD2" i="3" l="1"/>
  <c r="DD3" i="3"/>
  <c r="DD4" i="3"/>
  <c r="DD5" i="3"/>
  <c r="DD6" i="3"/>
  <c r="DD7" i="3"/>
  <c r="DD8" i="3"/>
  <c r="DD9" i="3"/>
  <c r="DD10" i="3"/>
  <c r="DC2" i="3"/>
  <c r="DC3" i="3"/>
  <c r="DC4" i="3"/>
  <c r="DC5" i="3"/>
  <c r="DC6" i="3"/>
  <c r="DC7" i="3"/>
  <c r="DC8" i="3"/>
  <c r="DC9" i="3"/>
  <c r="DC10" i="3"/>
  <c r="DB2" i="3"/>
  <c r="DB3" i="3"/>
  <c r="DB4" i="3"/>
  <c r="DB5" i="3"/>
  <c r="DB6" i="3"/>
  <c r="DB7" i="3"/>
  <c r="DB8" i="3"/>
  <c r="DB9" i="3"/>
  <c r="DB10" i="3"/>
  <c r="CZ2" i="3"/>
  <c r="CZ3" i="3"/>
  <c r="CZ4" i="3"/>
  <c r="CZ5" i="3"/>
  <c r="CZ6" i="3"/>
  <c r="CZ7" i="3"/>
  <c r="CZ8" i="3"/>
  <c r="CZ9" i="3"/>
  <c r="CZ10" i="3"/>
  <c r="CY2" i="3"/>
  <c r="CY3" i="3"/>
  <c r="CY4" i="3"/>
  <c r="CY5" i="3"/>
  <c r="CY6" i="3"/>
  <c r="CY7" i="3"/>
  <c r="CY8" i="3"/>
  <c r="CY9" i="3"/>
  <c r="CY10" i="3"/>
  <c r="CX2" i="3"/>
  <c r="CX3" i="3"/>
  <c r="CX4" i="3"/>
  <c r="CX5" i="3"/>
  <c r="CX6" i="3"/>
  <c r="CX7" i="3"/>
  <c r="CX8" i="3"/>
  <c r="CX9" i="3"/>
  <c r="CX10" i="3"/>
  <c r="CV2" i="3"/>
  <c r="CV3" i="3"/>
  <c r="CV4" i="3"/>
  <c r="CV5" i="3"/>
  <c r="CV6" i="3"/>
  <c r="CV7" i="3"/>
  <c r="CV8" i="3"/>
  <c r="CV9" i="3"/>
  <c r="CV10" i="3"/>
  <c r="CI4" i="3"/>
  <c r="CI5" i="3"/>
  <c r="CI6" i="3"/>
  <c r="CI9" i="3"/>
  <c r="CI2" i="3"/>
  <c r="CI7" i="3"/>
  <c r="CI8" i="3"/>
  <c r="CI3" i="3"/>
  <c r="CI10" i="3"/>
  <c r="CH2" i="3"/>
  <c r="CH4" i="3"/>
  <c r="CH5" i="3"/>
  <c r="CH7" i="3"/>
  <c r="CH3" i="3"/>
  <c r="CH6" i="3"/>
  <c r="CH8" i="3"/>
  <c r="CH9" i="3"/>
  <c r="CH10" i="3"/>
  <c r="CD2" i="3"/>
  <c r="CD3" i="3"/>
  <c r="CD4" i="3"/>
  <c r="CD5" i="3"/>
  <c r="CD6" i="3"/>
  <c r="CD7" i="3"/>
  <c r="CD8" i="3"/>
  <c r="CD9" i="3"/>
  <c r="CD10" i="3"/>
  <c r="CR2" i="3"/>
  <c r="CR3" i="3"/>
  <c r="CR4" i="3"/>
  <c r="CR5" i="3"/>
  <c r="CR6" i="3"/>
  <c r="CR7" i="3"/>
  <c r="CR8" i="3"/>
  <c r="CR9" i="3"/>
  <c r="CR10" i="3"/>
  <c r="CP2" i="3"/>
  <c r="CP3" i="3"/>
  <c r="CP4" i="3"/>
  <c r="CP5" i="3"/>
  <c r="CP6" i="3"/>
  <c r="CP7" i="3"/>
  <c r="CP8" i="3"/>
  <c r="CP9" i="3"/>
  <c r="CP10" i="3"/>
  <c r="CN2" i="3"/>
  <c r="CN3" i="3"/>
  <c r="CN4" i="3"/>
  <c r="CN5" i="3"/>
  <c r="CN6" i="3"/>
  <c r="CN7" i="3"/>
  <c r="CN8" i="3"/>
  <c r="CN9" i="3"/>
  <c r="CN10" i="3"/>
  <c r="CF2" i="3"/>
  <c r="CF3" i="3"/>
  <c r="CF4" i="3"/>
  <c r="CF5" i="3"/>
  <c r="CF6" i="3"/>
  <c r="CF7" i="3"/>
  <c r="CF8" i="3"/>
  <c r="CF9" i="3"/>
  <c r="CF10" i="3"/>
  <c r="CL2" i="3"/>
  <c r="CL3" i="3"/>
  <c r="CL4" i="3"/>
  <c r="CL5" i="3"/>
  <c r="CL6" i="3"/>
  <c r="CL7" i="3"/>
  <c r="CL8" i="3"/>
  <c r="CL9" i="3"/>
  <c r="CL10" i="3"/>
  <c r="CE2" i="3"/>
  <c r="CE3" i="3"/>
  <c r="CE4" i="3"/>
  <c r="CE5" i="3"/>
  <c r="CE6" i="3"/>
  <c r="CE7" i="3"/>
  <c r="CE8" i="3"/>
  <c r="CE9" i="3"/>
  <c r="CE10" i="3"/>
  <c r="CQ2" i="3"/>
  <c r="CQ3" i="3"/>
  <c r="CQ4" i="3"/>
  <c r="CQ5" i="3"/>
  <c r="CQ6" i="3"/>
  <c r="CQ7" i="3"/>
  <c r="CQ8" i="3"/>
  <c r="CQ9" i="3"/>
  <c r="CQ10" i="3"/>
  <c r="CM2" i="3"/>
  <c r="CM3" i="3"/>
  <c r="CM4" i="3"/>
  <c r="CM5" i="3"/>
  <c r="CM6" i="3"/>
  <c r="CM7" i="3"/>
  <c r="CM8" i="3"/>
  <c r="CM9" i="3"/>
  <c r="CM10" i="3"/>
  <c r="CJ2" i="3"/>
  <c r="CJ3" i="3"/>
  <c r="CJ4" i="3"/>
  <c r="CJ5" i="3"/>
  <c r="CJ6" i="3"/>
  <c r="CJ7" i="3"/>
  <c r="CJ8" i="3"/>
  <c r="CJ9" i="3"/>
  <c r="CJ10" i="3"/>
  <c r="CT3" i="3"/>
  <c r="CT4" i="3"/>
  <c r="CT5" i="3"/>
  <c r="CT6" i="3"/>
  <c r="CT9" i="3"/>
  <c r="CT2" i="3"/>
  <c r="CT7" i="3"/>
  <c r="CT10" i="3"/>
  <c r="CT8" i="3"/>
  <c r="CU2" i="3"/>
  <c r="CU3" i="3"/>
  <c r="CU4" i="3"/>
  <c r="CU5" i="3"/>
  <c r="CU6" i="3"/>
  <c r="CU7" i="3"/>
  <c r="CU8" i="3"/>
  <c r="CU9" i="3"/>
  <c r="CU10" i="3"/>
  <c r="EC2" i="2"/>
  <c r="EC3" i="2"/>
  <c r="EC4" i="2"/>
  <c r="EC5" i="2"/>
  <c r="EC6" i="2"/>
  <c r="EC7" i="2"/>
  <c r="EC8" i="2"/>
  <c r="EC9" i="2"/>
  <c r="EC10" i="2"/>
  <c r="EP6" i="2"/>
  <c r="EP10" i="2"/>
  <c r="EP7" i="2"/>
  <c r="EP2" i="2"/>
  <c r="EP3" i="2"/>
  <c r="EP4" i="2"/>
  <c r="EP5" i="2"/>
  <c r="EP9" i="2"/>
  <c r="EP8" i="2"/>
  <c r="DT2" i="2"/>
  <c r="DT3" i="2"/>
  <c r="DT4" i="2"/>
  <c r="DT5" i="2"/>
  <c r="DT6" i="2"/>
  <c r="DT7" i="2"/>
  <c r="DT8" i="2"/>
  <c r="DT9" i="2"/>
  <c r="DT10" i="2"/>
  <c r="EL2" i="2"/>
  <c r="EL3" i="2"/>
  <c r="EL4" i="2"/>
  <c r="EL7" i="2"/>
  <c r="EL9" i="2"/>
  <c r="EL10" i="2"/>
  <c r="EL5" i="2"/>
  <c r="EL6" i="2"/>
  <c r="EL8" i="2"/>
  <c r="ED2" i="2"/>
  <c r="ED3" i="2"/>
  <c r="ED4" i="2"/>
  <c r="ED5" i="2"/>
  <c r="ED6" i="2"/>
  <c r="ED7" i="2"/>
  <c r="ED8" i="2"/>
  <c r="ED9" i="2"/>
  <c r="ED10" i="2"/>
  <c r="DR2" i="2"/>
  <c r="DR3" i="2"/>
  <c r="DR4" i="2"/>
  <c r="DR5" i="2"/>
  <c r="DR6" i="2"/>
  <c r="DR7" i="2"/>
  <c r="DR8" i="2"/>
  <c r="DR9" i="2"/>
  <c r="DR10" i="2"/>
  <c r="EG2" i="2"/>
  <c r="EG3" i="2"/>
  <c r="EG4" i="2"/>
  <c r="EG5" i="2"/>
  <c r="EG6" i="2"/>
  <c r="EG7" i="2"/>
  <c r="EG8" i="2"/>
  <c r="EG9" i="2"/>
  <c r="EG10" i="2"/>
  <c r="DQ2" i="2"/>
  <c r="DQ3" i="2"/>
  <c r="DQ4" i="2"/>
  <c r="DQ5" i="2"/>
  <c r="DQ6" i="2"/>
  <c r="DQ7" i="2"/>
  <c r="DQ8" i="2"/>
  <c r="DQ9" i="2"/>
  <c r="DQ10" i="2"/>
  <c r="EN8" i="2"/>
  <c r="EN9" i="2"/>
  <c r="EN2" i="2"/>
  <c r="EN4" i="2"/>
  <c r="EN5" i="2"/>
  <c r="EN3" i="2"/>
  <c r="EN6" i="2"/>
  <c r="EN7" i="2"/>
  <c r="EN10" i="2"/>
  <c r="DU2" i="2"/>
  <c r="DU3" i="2"/>
  <c r="DU4" i="2"/>
  <c r="DU5" i="2"/>
  <c r="DU6" i="2"/>
  <c r="DU7" i="2"/>
  <c r="DU8" i="2"/>
  <c r="DU9" i="2"/>
  <c r="DU10" i="2"/>
  <c r="EO5" i="2"/>
  <c r="EO2" i="2"/>
  <c r="EO3" i="2"/>
  <c r="EO8" i="2"/>
  <c r="EO6" i="2"/>
  <c r="EO4" i="2"/>
  <c r="EO10" i="2"/>
  <c r="EO7" i="2"/>
  <c r="EO9" i="2"/>
  <c r="DZ2" i="2"/>
  <c r="DZ3" i="2"/>
  <c r="DZ4" i="2"/>
  <c r="DZ5" i="2"/>
  <c r="DZ6" i="2"/>
  <c r="DZ7" i="2"/>
  <c r="DZ8" i="2"/>
  <c r="DZ9" i="2"/>
  <c r="DZ10" i="2"/>
  <c r="EF2" i="2"/>
  <c r="EF3" i="2"/>
  <c r="EF4" i="2"/>
  <c r="EF5" i="2"/>
  <c r="EF6" i="2"/>
  <c r="EF7" i="2"/>
  <c r="EF8" i="2"/>
  <c r="EF9" i="2"/>
  <c r="EF10" i="2"/>
  <c r="DX2" i="2"/>
  <c r="DX3" i="2"/>
  <c r="DX4" i="2"/>
  <c r="DX5" i="2"/>
  <c r="DX6" i="2"/>
  <c r="DX7" i="2"/>
  <c r="DX8" i="2"/>
  <c r="DX9" i="2"/>
  <c r="DX10" i="2"/>
  <c r="DY2" i="2"/>
  <c r="DY3" i="2"/>
  <c r="DY4" i="2"/>
  <c r="DY5" i="2"/>
  <c r="DY6" i="2"/>
  <c r="DY7" i="2"/>
  <c r="DY8" i="2"/>
  <c r="DY9" i="2"/>
  <c r="DY10" i="2"/>
  <c r="DP2" i="2"/>
  <c r="DP3" i="2"/>
  <c r="DP4" i="2"/>
  <c r="DP5" i="2"/>
  <c r="DP6" i="2"/>
  <c r="DP7" i="2"/>
  <c r="DP8" i="2"/>
  <c r="DP9" i="2"/>
  <c r="DP10" i="2"/>
  <c r="EH2" i="2"/>
  <c r="EI2" i="2" s="1" a="1"/>
  <c r="EH3" i="2"/>
  <c r="EH7" i="2"/>
  <c r="EH8" i="2"/>
  <c r="EH10" i="2"/>
  <c r="EH4" i="2"/>
  <c r="EH5" i="2"/>
  <c r="EH6" i="2"/>
  <c r="EH9" i="2"/>
  <c r="EB2" i="2"/>
  <c r="EB3" i="2"/>
  <c r="EB4" i="2"/>
  <c r="EB5" i="2"/>
  <c r="EB6" i="2"/>
  <c r="EB7" i="2"/>
  <c r="EB8" i="2"/>
  <c r="EB9" i="2"/>
  <c r="EB10" i="2"/>
  <c r="EJ2" i="2"/>
  <c r="EJ3" i="2"/>
  <c r="EJ4" i="2"/>
  <c r="EJ5" i="2"/>
  <c r="EJ6" i="2"/>
  <c r="EJ7" i="2"/>
  <c r="EJ8" i="2"/>
  <c r="EJ10" i="2"/>
  <c r="EJ9" i="2"/>
  <c r="DV2" i="2"/>
  <c r="DV3" i="2"/>
  <c r="DV4" i="2"/>
  <c r="DV5" i="2"/>
  <c r="DV6" i="2"/>
  <c r="DV7" i="2"/>
  <c r="DV8" i="2"/>
  <c r="DV9" i="2"/>
  <c r="DV10" i="2"/>
  <c r="EK5" i="2"/>
  <c r="EK8" i="2"/>
  <c r="EK10" i="2"/>
  <c r="EK2" i="2"/>
  <c r="EK3" i="2"/>
  <c r="EK4" i="2"/>
  <c r="EK6" i="2"/>
  <c r="EK7" i="2"/>
  <c r="EK9" i="2"/>
  <c r="DW2" i="2" l="1" a="1"/>
  <c r="EA2" i="2" a="1"/>
  <c r="DS2" i="2" a="1"/>
  <c r="EM2" i="2" a="1"/>
  <c r="CS2" i="3" a="1"/>
  <c r="DE2" i="3" a="1"/>
  <c r="DA2" i="3" a="1"/>
  <c r="CW2" i="3" a="1"/>
  <c r="CO2" i="3" a="1"/>
  <c r="CG2" i="3" a="1"/>
  <c r="CK2" i="3" a="1"/>
  <c r="EE2" i="2" a="1"/>
  <c r="EI8" i="2"/>
  <c r="EI10" i="2"/>
  <c r="EI7" i="2"/>
  <c r="EI4" i="2"/>
  <c r="EI2" i="2"/>
  <c r="EI9" i="2"/>
  <c r="EI6" i="2"/>
  <c r="EI5" i="2"/>
  <c r="EI3" i="2"/>
  <c r="EQ2" i="2" a="1"/>
  <c r="DW10" i="2" l="1"/>
  <c r="DW9" i="2"/>
  <c r="DW8" i="2"/>
  <c r="DW7" i="2"/>
  <c r="DW6" i="2"/>
  <c r="DW5" i="2"/>
  <c r="DW4" i="2"/>
  <c r="DW3" i="2"/>
  <c r="DW2" i="2"/>
  <c r="EA6" i="2"/>
  <c r="EA5" i="2"/>
  <c r="EA9" i="2"/>
  <c r="EA4" i="2"/>
  <c r="EA3" i="2"/>
  <c r="EA7" i="2"/>
  <c r="EA10" i="2"/>
  <c r="EA2" i="2"/>
  <c r="EA8" i="2"/>
  <c r="CS4" i="3"/>
  <c r="DS10" i="2"/>
  <c r="DS9" i="2"/>
  <c r="DS8" i="2"/>
  <c r="DS7" i="2"/>
  <c r="DS6" i="2"/>
  <c r="DS5" i="2"/>
  <c r="DS4" i="2"/>
  <c r="DS3" i="2"/>
  <c r="DS2" i="2"/>
  <c r="CS3" i="3"/>
  <c r="CS5" i="3"/>
  <c r="CS6" i="3"/>
  <c r="CS7" i="3"/>
  <c r="CS8" i="3"/>
  <c r="CS9" i="3"/>
  <c r="CS10" i="3"/>
  <c r="CS2" i="3"/>
  <c r="EM8" i="2"/>
  <c r="EM6" i="2"/>
  <c r="EM10" i="2"/>
  <c r="EM3" i="2"/>
  <c r="EM4" i="2"/>
  <c r="EM9" i="2"/>
  <c r="EM5" i="2"/>
  <c r="EM7" i="2"/>
  <c r="EM2" i="2"/>
  <c r="DE2" i="3"/>
  <c r="DE3" i="3"/>
  <c r="DE4" i="3"/>
  <c r="DE5" i="3"/>
  <c r="DE6" i="3"/>
  <c r="DE7" i="3"/>
  <c r="DE8" i="3"/>
  <c r="DE9" i="3"/>
  <c r="DE10" i="3"/>
  <c r="DA2" i="3"/>
  <c r="DA3" i="3"/>
  <c r="DA4" i="3"/>
  <c r="DA5" i="3"/>
  <c r="DA6" i="3"/>
  <c r="DA7" i="3"/>
  <c r="DA8" i="3"/>
  <c r="DA9" i="3"/>
  <c r="DA10" i="3"/>
  <c r="CW2" i="3"/>
  <c r="CW3" i="3"/>
  <c r="CW4" i="3"/>
  <c r="CW5" i="3"/>
  <c r="CW6" i="3"/>
  <c r="CW7" i="3"/>
  <c r="CW8" i="3"/>
  <c r="CW9" i="3"/>
  <c r="CW10" i="3"/>
  <c r="CO10" i="3"/>
  <c r="CO9" i="3"/>
  <c r="CO8" i="3"/>
  <c r="CO7" i="3"/>
  <c r="CO6" i="3"/>
  <c r="CO5" i="3"/>
  <c r="CO4" i="3"/>
  <c r="CO3" i="3"/>
  <c r="CO2" i="3"/>
  <c r="CG2" i="3"/>
  <c r="CG3" i="3"/>
  <c r="CG4" i="3"/>
  <c r="CG5" i="3"/>
  <c r="CG6" i="3"/>
  <c r="CG7" i="3"/>
  <c r="CG8" i="3"/>
  <c r="CG9" i="3"/>
  <c r="CG10" i="3"/>
  <c r="CK2" i="3"/>
  <c r="CK3" i="3"/>
  <c r="CK4" i="3"/>
  <c r="CK5" i="3"/>
  <c r="CK6" i="3"/>
  <c r="CK7" i="3"/>
  <c r="CK8" i="3"/>
  <c r="CK9" i="3"/>
  <c r="CK10" i="3"/>
  <c r="EE10" i="2"/>
  <c r="EE9" i="2"/>
  <c r="EE8" i="2"/>
  <c r="EE7" i="2"/>
  <c r="EE6" i="2"/>
  <c r="EE5" i="2"/>
  <c r="EE4" i="2"/>
  <c r="EE3" i="2"/>
  <c r="EE2" i="2"/>
  <c r="EQ2" i="2"/>
  <c r="EQ3" i="2"/>
  <c r="EQ4" i="2"/>
  <c r="EQ5" i="2"/>
  <c r="EQ6" i="2"/>
  <c r="EQ7" i="2"/>
  <c r="EQ8" i="2"/>
  <c r="EQ9" i="2"/>
  <c r="EQ10" i="2"/>
</calcChain>
</file>

<file path=xl/sharedStrings.xml><?xml version="1.0" encoding="utf-8"?>
<sst xmlns="http://schemas.openxmlformats.org/spreadsheetml/2006/main" count="368" uniqueCount="289">
  <si>
    <t>HASIL PENILAIAN KINERJA KEPALA SEKOLAH</t>
  </si>
  <si>
    <t>TAHUN 2026</t>
  </si>
  <si>
    <t>INFORMASI SEKOLAH</t>
  </si>
  <si>
    <t>Jenjang</t>
  </si>
  <si>
    <t>:</t>
  </si>
  <si>
    <t>SMP</t>
  </si>
  <si>
    <t>Kecamatan</t>
  </si>
  <si>
    <t>Lubuk Pakam</t>
  </si>
  <si>
    <t>Pengawas</t>
  </si>
  <si>
    <t>SUMARTI NINGSIH, S.Pd., M.Pd</t>
  </si>
  <si>
    <t>No. HP       :</t>
  </si>
  <si>
    <t>Nama Sekolah</t>
  </si>
  <si>
    <t>UPT SPF SMP NEGERI 1 LUBUK PAKAM</t>
  </si>
  <si>
    <t>NPSN</t>
  </si>
  <si>
    <t>Kepala Sekolah</t>
  </si>
  <si>
    <r>
      <rPr>
        <sz val="12"/>
        <rFont val="Cambria"/>
        <family val="1"/>
      </rPr>
      <t>AHMAD AFFANDI, S.T.,</t>
    </r>
    <r>
      <rPr>
        <u/>
        <sz val="12"/>
        <color rgb="FF1155CC"/>
        <rFont val="Cambria"/>
        <family val="1"/>
      </rPr>
      <t>M.Si</t>
    </r>
  </si>
  <si>
    <t>Bulan</t>
  </si>
  <si>
    <t>Mei</t>
  </si>
  <si>
    <t>Nomor Urut</t>
  </si>
  <si>
    <t>HASIL PENILAIAN PER INDIKATOR</t>
  </si>
  <si>
    <t>No</t>
  </si>
  <si>
    <t>Kode</t>
  </si>
  <si>
    <t>Indikator Penilaian</t>
  </si>
  <si>
    <t>Baseline</t>
  </si>
  <si>
    <t>Target</t>
  </si>
  <si>
    <t>Hasil Capaian</t>
  </si>
  <si>
    <t>Link Dokumentasi Foto</t>
  </si>
  <si>
    <t>QR Code Dokumentasi</t>
  </si>
  <si>
    <t>Kebersihan Lingkungan Satuan Pendidikan</t>
  </si>
  <si>
    <t>Kebersihan Lingkungan Belajar</t>
  </si>
  <si>
    <t>Kelengkapan Sanitasi dan Kebersihan Kamar Mandi</t>
  </si>
  <si>
    <t>Kerindangan dan Apotik Hidup Sekolah</t>
  </si>
  <si>
    <t>Mewujudkan Sekolah Adiwiyata</t>
  </si>
  <si>
    <t>Mewujudkan sekolah dan kantin Sehat</t>
  </si>
  <si>
    <t>Ketersediaan Tong Sampah Sesuai Peruntukan</t>
  </si>
  <si>
    <t>Pengelolaan bank Sampah</t>
  </si>
  <si>
    <t>Tempat Pengomposan dan Pengolahan Sampah Organik</t>
  </si>
  <si>
    <t>Produk Daur Ulang</t>
  </si>
  <si>
    <t>Jumlah Inovasi di Sekolah</t>
  </si>
  <si>
    <t>Pemanfaatan Teknologi dalam Pembelajaran</t>
  </si>
  <si>
    <t>Upaya meningkatkan literasi dan numerasi</t>
  </si>
  <si>
    <t>Indeks kepuasan Orang Tua Murid</t>
  </si>
  <si>
    <t>Indeks kepuasan Siswa</t>
  </si>
  <si>
    <t>Indeks Kepuasan guru dan staff</t>
  </si>
  <si>
    <t>Jumlah murid dalam mengikuti perlombaan akademik dan non akademik</t>
  </si>
  <si>
    <t>Jumlah Murid yang Berprestasi di bidang akademik</t>
  </si>
  <si>
    <t>Jumlah Murid yang Berprestasi di bidang non akademik</t>
  </si>
  <si>
    <t>Jumlah Murid yang tidak Lancar Calistung</t>
  </si>
  <si>
    <t>Partisipasi Murid dalam Ekstrakurikuler</t>
  </si>
  <si>
    <t>Dokumen Rencana Kerja Sekolah</t>
  </si>
  <si>
    <t>Dokumen Kurikulum Satuan Pendidikan</t>
  </si>
  <si>
    <t>Dokumen Inventaris Barang</t>
  </si>
  <si>
    <t>Dokumen Administrasi Murid</t>
  </si>
  <si>
    <t>Laporan Penggunaan Dana BOS</t>
  </si>
  <si>
    <t>Nilai Rata-Rata</t>
  </si>
  <si>
    <t>Lubuk Pakam, ....  April 2026</t>
  </si>
  <si>
    <t>Penilai,</t>
  </si>
  <si>
    <t>Yang dinilai,</t>
  </si>
  <si>
    <t>NIP.</t>
  </si>
  <si>
    <t>Rata Baseline</t>
  </si>
  <si>
    <t>Rata Target</t>
  </si>
  <si>
    <t>Rata Capaian</t>
  </si>
  <si>
    <t>Kinerja Keseluruhan</t>
  </si>
  <si>
    <t>BASELINE 1</t>
  </si>
  <si>
    <t>TARGET 1</t>
  </si>
  <si>
    <t>CAPAIAN 1</t>
  </si>
  <si>
    <t>Kinerja Performance Sekolah</t>
  </si>
  <si>
    <t>BASELINE 2</t>
  </si>
  <si>
    <t>TARGET 2</t>
  </si>
  <si>
    <t>CAPAIAN 2</t>
  </si>
  <si>
    <t>Kinerja Tata Kelola Sampah</t>
  </si>
  <si>
    <t>BASELINE 3</t>
  </si>
  <si>
    <t>TARGET 3</t>
  </si>
  <si>
    <t>CAPAIAN 3</t>
  </si>
  <si>
    <t>Kinerja Inovasi Sekolah</t>
  </si>
  <si>
    <t>BASELINE 4</t>
  </si>
  <si>
    <t>TARGET 4</t>
  </si>
  <si>
    <t>CAPAIAN 4</t>
  </si>
  <si>
    <t>Kinerja Indeks kepuasan &amp; Kepemimpinan</t>
  </si>
  <si>
    <t>BASELINE 5</t>
  </si>
  <si>
    <t>TARGET 5</t>
  </si>
  <si>
    <t>CAPAIAN 5</t>
  </si>
  <si>
    <t>Kinerja Prestasi Murid</t>
  </si>
  <si>
    <t>BASELINE 6</t>
  </si>
  <si>
    <t>TARGET 6</t>
  </si>
  <si>
    <t>CAPAIAN 6</t>
  </si>
  <si>
    <t>Kinerja Kelengkapan Dokumen Sekolah</t>
  </si>
  <si>
    <t>Rata Baseline Performance</t>
  </si>
  <si>
    <t>Rata Target Performance</t>
  </si>
  <si>
    <t>Rata Capaian Performance</t>
  </si>
  <si>
    <t>Kinerja Performance</t>
  </si>
  <si>
    <t>Rata Baseline Kebijakan SRA</t>
  </si>
  <si>
    <t>Rata Target Kebijakan SRA</t>
  </si>
  <si>
    <t>Rata Capaian Kebijakan SRA</t>
  </si>
  <si>
    <t>Kinerja Kebijakan SRA</t>
  </si>
  <si>
    <t>Rata Baseline Pemanfaatan Teknologi &amp; 7KAIH</t>
  </si>
  <si>
    <t>Rata Target Pemanfaatan Teknologi &amp; 7KAIH</t>
  </si>
  <si>
    <t>Rata Capaian Pemanfaatan Teknologi &amp; 7KAIH</t>
  </si>
  <si>
    <t>Kinerja Pemanfaatan Teknologi &amp; 7KAIH</t>
  </si>
  <si>
    <t>Rata Baseline Data Tumbuh Kembang Anak</t>
  </si>
  <si>
    <t>Rata Target Data Tumbuh Kembang Anak</t>
  </si>
  <si>
    <t>Rata Capaian Data Tumbuh Kembang Anak</t>
  </si>
  <si>
    <t>Kinerja Data Tumbuh Kembang Anak</t>
  </si>
  <si>
    <t>Rata Baseline Kemitraan</t>
  </si>
  <si>
    <t>Rata Target Kemitraan</t>
  </si>
  <si>
    <t>Rata Capaian Kemitraan</t>
  </si>
  <si>
    <t>Kinerja Kemitraan</t>
  </si>
  <si>
    <t>Rata Baseline Dokumen Sekolah</t>
  </si>
  <si>
    <t>Rata Target Dokumen Sekolah</t>
  </si>
  <si>
    <t>Rata Capaian Dokumen Sekolah</t>
  </si>
  <si>
    <t>Kinerja Dokumen Sekolah</t>
  </si>
  <si>
    <t>Timestamp</t>
  </si>
  <si>
    <t>Email Address</t>
  </si>
  <si>
    <t>KECAMATAN</t>
  </si>
  <si>
    <t>JENJANG</t>
  </si>
  <si>
    <t>SATUAN PENDIDIKAN</t>
  </si>
  <si>
    <t>NAMA KEPALA SEKOLAH</t>
  </si>
  <si>
    <t>NOMOR HP KEPALA SEKOLAH</t>
  </si>
  <si>
    <t>NAMA GURU</t>
  </si>
  <si>
    <t>STATUS</t>
  </si>
  <si>
    <t>PANGKAT/GOL.RUANG</t>
  </si>
  <si>
    <t>NIP/NUPTK</t>
  </si>
  <si>
    <t>MATA PELAJARAN</t>
  </si>
  <si>
    <t>NOMOR HP GURU</t>
  </si>
  <si>
    <t>BULAN</t>
  </si>
  <si>
    <t>Penilaian Manajemen Ruang &amp; Lingkungan Sekolah [Kebersihan Ruangan Terjaga (Lantai, meja, kursi, papan tulis, lemari, jendela)]</t>
  </si>
  <si>
    <t>Penilaian Manajemen Ruang &amp; Lingkungan Sekolah [Kerapian: Tidak ada sampah berserakan di dalam laci atau sudut kelas.]</t>
  </si>
  <si>
    <t>Penilaian Manajemen Ruang &amp; Lingkungan Sekolah [Kenyamanan: Ruangan memiliki ventilasi dan pencahayaan yang baik (tidak pengap)]</t>
  </si>
  <si>
    <t>Penilaian Manajemen Ruang &amp; Lingkungan Sekolah [Tata Ruang: Layout kelas ditata secara estetis dan fungsional untuk belajar]</t>
  </si>
  <si>
    <t>Penilaian Manajemen Ruang &amp; Lingkungan Sekolah [Atribut Wajib: Tersedia pajangan ruang, tata tertib, dan struktur organisasi, atau kesepakatan pemakaian ruang]</t>
  </si>
  <si>
    <t>Penilaian Manajemen Ruang &amp; Lingkungan Sekolah [Administrasi Ruang: Tersedia daftar piket/ absensi, Kartu Inventaris Ruang, dan Nomor Inventaris Barang]</t>
  </si>
  <si>
    <t>Penilaian Manajemen Ruang &amp; Lingkungan Sekolah [Program Sekolah: Guru menjadi penanggung jawab/terlibat aktif dalam program]</t>
  </si>
  <si>
    <t>Link Bukti Dukung Indikator 1. Manajemen Ruang &amp; Lingkungan Sekolah</t>
  </si>
  <si>
    <t>Penilaian Tata Kelola Sampah [Pilah Sampah: Tersedia minimal 2 tempat sampah terpisah (Organik &amp; Anorganik)]</t>
  </si>
  <si>
    <t>Penilaian Tata Kelola Sampah [Pelabelan: Tempat sampah memiliki label/keterangan pemilahan yang jelas]</t>
  </si>
  <si>
    <t>Penilaian Tata Kelola Sampah [Wadah barang untuk Bank Sampah: Tersedia wadah bank sampah untuk &gt;2 jenis sampah (plastik, kertas, dll)]</t>
  </si>
  <si>
    <t>Penilaian Tata Kelola Sampah [Manajemen Data: Adanya buku catatan/tabungan bank sampah yang rutin diisi]</t>
  </si>
  <si>
    <t>Link Bukti Dukung Indikator 2. Tata Kelola Sampah</t>
  </si>
  <si>
    <t>Penilaian Inovasi &amp; Pengembangan Profesi [Karya Inovasi: Guru menunjukkan bukti 4 produk inovasi dalam 1 TA (media/buku/artikel dalam jurnal terindeks, artikel/opini di media massa)]</t>
  </si>
  <si>
    <t>Penilaian Inovasi &amp; Pengembangan Profesi [Integrasi IT: Guru menggunakan IT (Canva/PPT/Kuis Online) minimal 2x seminggu dengan salah satu perangkat HP tablet, laptop, IFP, infocus, dan lainnya]</t>
  </si>
  <si>
    <t>Penilaian Inovasi &amp; Pengembangan Profesi [Ketersediaan sumber belajar yang bervariasi digital dan non digital]</t>
  </si>
  <si>
    <t>Penilaian Inovasi &amp; Pengembangan Profesi [Dampak integrasi Literasi-Numerasi: pemahaman dan penerapan dari sumber belajar]</t>
  </si>
  <si>
    <t>Penilaian Inovasi &amp; Pengembangan Profesi [Diklat: Memiliki bukti minimal sertifikat 4 kegiatan pengembangan profesi dalam setahun]</t>
  </si>
  <si>
    <t>Penilaian Inovasi &amp; Pengembangan Profesi [Partisipasi Guru dalam kegiatan lomba akademik dan non akademik]</t>
  </si>
  <si>
    <t>Penilaian Inovasi &amp; Pengembangan Profesi [Pendampingan sejawat (Tim penilaian Kinerja, Mentoring, Coaching, Narasumber pelatihan, Narasumber berbagi]</t>
  </si>
  <si>
    <t>Penilaian Inovasi &amp; Pengembangan Profesi [Meraih Penghargaan di Bidang Akademik maupun Non Akademik]</t>
  </si>
  <si>
    <t>Link Bukti Dukung Indikator 3. Inovasi &amp; Pengembangan Profesi</t>
  </si>
  <si>
    <t>Survey Penilaian Kepuasan Kinerja Guru dari Siswa 1</t>
  </si>
  <si>
    <t>Survey Penilaian Kepuasan Kinerja Guru dari Siswa 2</t>
  </si>
  <si>
    <t>Survey Penilaian Kepuasan Kinerja Guru dari Orang Tua (Komite Sekolah) 1</t>
  </si>
  <si>
    <t>Survey Penilaian Kepuasan Kinerja Guru dari Orang Tua (Komite Sekolah) 2</t>
  </si>
  <si>
    <t>Survey Penilaian Kepuasan Kinerja Guru dari Teman Sejawat 1</t>
  </si>
  <si>
    <t>Survey Penilaian Kepuasan Kinerja Guru dari Teman Sejawat 2</t>
  </si>
  <si>
    <t>Survey Penilaian Kepuasan Kinerja Guru dari Kepala Sekolah</t>
  </si>
  <si>
    <t>Penilaian Kepuasan, Komunikasi &amp; Prestasi Siswa:
Jika Butir Observasi terpenuhi beri nilai 1 untuk menyatakan "Ya" dan beri nilai 0 untuk menyatakan "Tidak" [Pembimbingan: Guru Membimbing Siswa dalam Ajang Lomba Akademik/Non-Akademik]</t>
  </si>
  <si>
    <t>Penilaian Kepuasan, Komunikasi &amp; Prestasi Siswa:
Jika Butir Observasi terpenuhi beri nilai 1 untuk menyatakan "Ya" dan beri nilai 0 untuk menyatakan "Tidak" [Output Prestasi: Siswa bimbingan meraih prestasi tingkat Kabupaten-kota /Provinsi/Nasional/Internasional]</t>
  </si>
  <si>
    <t>Penilaian Kepuasan, Komunikasi &amp; Prestasi Siswa:
Jika Butir Observasi terpenuhi beri nilai 1 untuk menyatakan "Ya" dan beri nilai 0 untuk menyatakan "Tidak" [Ekstrakurikuler: pendampingan ekskul]</t>
  </si>
  <si>
    <t>Link Bukti Dukung Indikator 4. Kepuasan, Komunikasi &amp; Prestasi Siswa</t>
  </si>
  <si>
    <t>Penilaian Praktek Pembelajaran-Perangkat Pembelajaran [Perangkat Ajar: Memiliki lengkap 5 dokumen (TP, ATP, RPM, Prog. Kokurikuler &amp; Ekskul) dengan pendekatan]</t>
  </si>
  <si>
    <t>Penilaian Praktek Pembelajaran-Perangkat Pembelajaran [Asesmen: Dokumen penilaian siswa lengkap, rapi, dan terorganisir sesuai prosedur]</t>
  </si>
  <si>
    <t>Penilaian Praktek Pembelajaran-Perangkat Pembelajaran [Tindak Lanjut: Terdapat bukti analisis hasil evaluasi untuk perbaikan pembelajaran]</t>
  </si>
  <si>
    <t>Penilaian Praktek Pembelajaran-Perangkat Pembelajaran [Praktik Pembelajaran sesuai dengan perangkat yang dikumpulkan dan di observasi]</t>
  </si>
  <si>
    <t>Link Bukti Dukung Indikator 5. Praktek Pembelajaran-Perangkat Pembelajaran</t>
  </si>
  <si>
    <t>Rata Capaian Manajemen Ruang dan Lingkungan Sekolah</t>
  </si>
  <si>
    <t>Rata Capaian Tata Kelola Sampah</t>
  </si>
  <si>
    <t>Rata Capaian Inovasi dan Pengembangan Profesi</t>
  </si>
  <si>
    <t>Rata Capaian Kepuasan, Komunikasi dan Prestasi Siswa</t>
  </si>
  <si>
    <t>Rata Capaian Praktek Pembelajaran dan Perangkat Pembelajaran</t>
  </si>
  <si>
    <t>Rata Keseluruhan</t>
  </si>
  <si>
    <t>4/30/2026 11:02:57</t>
  </si>
  <si>
    <t>sdn105299marindal@gmail.com</t>
  </si>
  <si>
    <t>PATUMBAK</t>
  </si>
  <si>
    <t>SD</t>
  </si>
  <si>
    <t>UPT SPF SD NEGERI 105299</t>
  </si>
  <si>
    <t>SUDARMAN, S.Pd</t>
  </si>
  <si>
    <t>0819-7396-6424</t>
  </si>
  <si>
    <t>M ADE AKSARIES ARIF, S.Pd</t>
  </si>
  <si>
    <t>PNS</t>
  </si>
  <si>
    <t>III/b</t>
  </si>
  <si>
    <t>Pendidikan Jasmani Olahraga dan Kesehatan</t>
  </si>
  <si>
    <t>0822-7727-3321</t>
  </si>
  <si>
    <t>April</t>
  </si>
  <si>
    <t>https://drive.google.com/drive/folders/1qHYehtdWlNy_1f6ELdJB5dciTq9TuPay?usp=sharing</t>
  </si>
  <si>
    <t>https://drive.google.com/drive/folders/1GDx-lB2Yuj2pY5xsGRyIakPwcImWWqv5?usp=sharing</t>
  </si>
  <si>
    <t>https://drive.google.com/drive/folders/1LuvOmtgIe9IYRmIDS7IsaDNGRUf68qKz?usp=sharing</t>
  </si>
  <si>
    <t>https://drive.google.com/drive/folders/1V4mffWC88mM_p5cP0Fe_qxN5b60DFl6U?usp=sharing</t>
  </si>
  <si>
    <t>https://drive.google.com/drive/folders/1i_kaNymp7Dag7-DCSEdniIpKQ2az0MIl?usp=sharing</t>
  </si>
  <si>
    <t>4/30/2026 11:08:41</t>
  </si>
  <si>
    <t>UPT SPF SD NEGERI 105299 MARINDAL I</t>
  </si>
  <si>
    <t>ERLI KUMALA SARI, S.Pd</t>
  </si>
  <si>
    <t>P3K PW</t>
  </si>
  <si>
    <t>IX</t>
  </si>
  <si>
    <t>GURU KELAS</t>
  </si>
  <si>
    <t>https://drive.google.com/drive/folders/15oWN_VACQlvCbzUAXR4Sij-36t91Jbk7?usp=sharing</t>
  </si>
  <si>
    <t>https://drive.google.com/drive/folders/11Hz6PpKFWWa0YATSk_N_p5UFMuDBzLDC?usp=sharing</t>
  </si>
  <si>
    <t>https://drive.google.com/drive/folders/1wiI3-BoPMj2e-4C1v9wOjaUFSVpgYpl5?usp=sharing</t>
  </si>
  <si>
    <t>https://drive.google.com/drive/folders/1IStIkFE7n5eT5ztTEki7YVQDYdIN09we?usp=sharing</t>
  </si>
  <si>
    <t>https://drive.google.com/drive/folders/1Mjz5nNoglsAHvLd03Ihd4FeqZuHeYvAn?usp=sharing</t>
  </si>
  <si>
    <t>4/30/2026 11:13:07</t>
  </si>
  <si>
    <t>M FADLAN TAHIR DAULAY, S.Pd</t>
  </si>
  <si>
    <t>https://drive.google.com/drive/folders/1YoRKfOx8lwZlK4yMrMo3cCvqU_4XtyNX</t>
  </si>
  <si>
    <t>https://drive.google.com/drive/folders/1lnnltRhROkaT2-WNlFubzYp0Ve-6-bye</t>
  </si>
  <si>
    <t>https://drive.google.com/drive/folders/1wXKtGrN50ngcsSJm8nJyTwIlW0HV9Hmc</t>
  </si>
  <si>
    <t>https://drive.google.com/drive/folders/1WtMSzz7hdgFqU5ZXzSPC_Y3PKseM64Xw</t>
  </si>
  <si>
    <t>https://drive.google.com/drive/folders/18jSo3ajAlCnLF5ZXxcbG0EK4TY67LkP9</t>
  </si>
  <si>
    <t>4/30/2026 11:25:27</t>
  </si>
  <si>
    <t>NURJANNAH FII BAITINAH, S.Pd</t>
  </si>
  <si>
    <t>P3K</t>
  </si>
  <si>
    <t>19940608 2024212001</t>
  </si>
  <si>
    <t>https://drive.google.com/drive/folders/1HLRAg9x5mb2CGY7nSE-QauWl7xKzMldu?usp=sharing</t>
  </si>
  <si>
    <t>https://drive.google.com/drive/folders/1I6HaQmNFV-bF9uj0ao9gjDJa1ar8eiFL?usp=sharing</t>
  </si>
  <si>
    <t>https://drive.google.com/drive/folders/1IMS9utldTw_EXUTbJiLC7mQb3JMHf3Ff?usp=sharing</t>
  </si>
  <si>
    <t>https://drive.google.com/drive/folders/1IsevikTt2DG-Lecv6XA3qaAEsQxFDumS?usp=sharing</t>
  </si>
  <si>
    <t>https://drive.google.com/drive/folders/1JLCqlVPRhrJaU8MEu2r8hUtNr7s1UOFa?usp=sharing</t>
  </si>
  <si>
    <t>4/30/2026 11:33:50</t>
  </si>
  <si>
    <t>RITA ZAHARA.S.Pd</t>
  </si>
  <si>
    <t>IV/a</t>
  </si>
  <si>
    <t>Guru Kelas</t>
  </si>
  <si>
    <t>https://drive.google.com/drive/folders/1LNsIN8UGsOVHqGhVWPDeI2qVNFsNCWcb?usp=sharing</t>
  </si>
  <si>
    <t>https://drive.google.com/drive/folders/1U3LavRQz_hl9KQ49cz7KVNUcSZGkQf9I?usp=sharing</t>
  </si>
  <si>
    <t>https://drive.google.com/drive/folders/1CaKqSYg8LoXRlT1z_HQBBMA8oD-Twegm?usp=sharing</t>
  </si>
  <si>
    <t>https://drive.google.com/drive/folders/1TY3P2uv8fOSZp74EuewBSlZVIZtqazAg?usp=sharing</t>
  </si>
  <si>
    <t>https://drive.google.com/drive/folders/13DCIUQNqsM1iEXSPTH5Li6ju_0AeEqqB?usp=sharing</t>
  </si>
  <si>
    <t>4/30/2026 11:48:24</t>
  </si>
  <si>
    <t>TIODOR LUMBANTOBING, S.Pd</t>
  </si>
  <si>
    <t>III/c</t>
  </si>
  <si>
    <t>https://drive.google.com/drive/folders/1JqqDQZRX3iG230ErM6bGPkVB4p9DJj3Z?usp=sharing</t>
  </si>
  <si>
    <t>https://drive.google.com/drive/folders/16gzBHHWtBCD-rZEruN2NB95edOXcseIb?usp=sharing</t>
  </si>
  <si>
    <t>https://drive.google.com/drive/folders/1Ca2cTDg-M7TdBdv4HQswzbbC7_STePZA?usp=sharing</t>
  </si>
  <si>
    <t>https://drive.google.com/drive/folders/1nsSHbKgp313AS73LYiC40UfHnmIvn9kq?usp=sharing</t>
  </si>
  <si>
    <t>https://drive.google.com/drive/folders/1g5uZ4xWGnlHt28bCEf13Fko0KION2kd3?usp=sharing</t>
  </si>
  <si>
    <t>4/30/2026 11:59:55</t>
  </si>
  <si>
    <t>LIA AMALIA, S.Pd</t>
  </si>
  <si>
    <t>Non ASN</t>
  </si>
  <si>
    <t>-</t>
  </si>
  <si>
    <t>0852-6283-3383</t>
  </si>
  <si>
    <t>https://drive.google.com/drive/folders/1Gv1AygA29QSjVYlA4aKaf26JbEzskuUc</t>
  </si>
  <si>
    <t>https://drive.google.com/drive/folders/15LR17YZx1rSm2oNE34BEW1JyGRILbCWE</t>
  </si>
  <si>
    <t>https://drive.google.com/drive/folders/1vbTdjrIk1fFszXTEMR30mcTO7n3lDuLw</t>
  </si>
  <si>
    <t>https://drive.google.com/drive/folders/1QAf-jitLdCwPCxHLPITnS295uh07UshH</t>
  </si>
  <si>
    <t>https://drive.google.com/drive/folders/1vk-JIVA2JeS7QaF9GLKr1UNgnyw0co8x</t>
  </si>
  <si>
    <t>4/30/2026 12:05:36</t>
  </si>
  <si>
    <t>ZAKARIA, S.Pd</t>
  </si>
  <si>
    <t>0813-7711-3958</t>
  </si>
  <si>
    <t>https://drive.google.com/drive/folders/1buK2OcBfEF2MSFa0ZV97WGcQsoSdxmzk?usp=sharing</t>
  </si>
  <si>
    <t>https://drive.google.com/drive/folders/1WBk0pZ6tErJzNxvdbIckDcvmbs79Niko?usp=sharing</t>
  </si>
  <si>
    <t>https://drive.google.com/drive/folders/1zq2Rmg_ZzyVO9VsgPJOzHIZM5x-6Qmt6?usp=sharing</t>
  </si>
  <si>
    <t>https://drive.google.com/drive/folders/1u_07lDpARni1orHkFIk6FQtBZGLnfQlR?usp=sharing</t>
  </si>
  <si>
    <t>https://drive.google.com/drive/folders/1he75cNB1bFjDr0s55550pLxz5ml9M_Mp?usp=sharing</t>
  </si>
  <si>
    <t>4/30/2026 12:06:16</t>
  </si>
  <si>
    <t>cicisyah30@gmail.com</t>
  </si>
  <si>
    <t>UPT SPF SMP Negeri 1 Patumbak</t>
  </si>
  <si>
    <t>Ragunni Gultom, S.Pd., M.Si</t>
  </si>
  <si>
    <t>Cici Endang Mustika</t>
  </si>
  <si>
    <t>Penata Tk I/IIId</t>
  </si>
  <si>
    <t>198508052009032012/</t>
  </si>
  <si>
    <t>Bimbingan Konseling</t>
  </si>
  <si>
    <t>https://drive.google.com/drive/folders/1rH9zUDDWcYir5-Gb3zYSBuhp4ddPYXxe?usp=sharing</t>
  </si>
  <si>
    <t>https://drive.google.com/drive/folders/1tI-hGOfME1Pkszyy9oQIvSiT-Y_TqA8n?usp=sharing</t>
  </si>
  <si>
    <t>https://drive.google.com/drive/folders/1DJQjmAKBohgHSPktyclqV3sV8_K9Q2yN?usp=drive_link</t>
  </si>
  <si>
    <t>https://drive.google.com/drive/folders/1kezrxBxVXmc-yo_nswk1ebtW8i6F1NW8?usp=sharing</t>
  </si>
  <si>
    <t>INDENTITAS GURU</t>
  </si>
  <si>
    <t>NAMA</t>
  </si>
  <si>
    <t>NIP</t>
  </si>
  <si>
    <t>PANGKAT/GOL. RUANG</t>
  </si>
  <si>
    <t>UNIT KERJA</t>
  </si>
  <si>
    <t>MATA PELAJARAN/GURU KELAS</t>
  </si>
  <si>
    <t>JUMLAH JAM TATAP MUKA</t>
  </si>
  <si>
    <t xml:space="preserve">Jam </t>
  </si>
  <si>
    <t>TUGAS TAMBAHAN</t>
  </si>
  <si>
    <t>No.</t>
  </si>
  <si>
    <t>OBSERVASI (PENGAMATAN/PEMANTAUAN)</t>
  </si>
  <si>
    <t>Nilai</t>
  </si>
  <si>
    <t>Kategori</t>
  </si>
  <si>
    <t>Tim Penilai</t>
  </si>
  <si>
    <t>Manajemen Ruang &amp; Lingkungan Sekolah</t>
  </si>
  <si>
    <t>Tata Kelola Sampah</t>
  </si>
  <si>
    <t>Inovasi &amp; Pengembangan Profesi</t>
  </si>
  <si>
    <t>Kepuasan, Komunikasi &amp; Prestasi Siswa</t>
  </si>
  <si>
    <t>Kepala Sekolah, Siswa, Orang Tua Siswa (Komite Sekolah) Teman Sejawat</t>
  </si>
  <si>
    <t>Praktek Pembelajaran-Perangkat Pembelajaran</t>
  </si>
  <si>
    <t>Pengawas Satuan Pendidikan</t>
  </si>
  <si>
    <t>RATA - RATA PENILAIAN KINERJA GURU (%)</t>
  </si>
  <si>
    <t>PERSETUJUAN</t>
  </si>
  <si>
    <t>(Persetujuan ini harus ditandatangani oleh Kepala Sekolah dan Guru yang dinilai)</t>
  </si>
  <si>
    <t>Penilai  dan  guru  yang  dinilai  menyatakan  telah  membaca  dan  mamahami  semua  aspek  yang ditulis/dilaporkan dalam format ini dan menyatakan setuju.</t>
  </si>
  <si>
    <t>Nama Guru</t>
  </si>
  <si>
    <t>Nama Kepala Sekolah :</t>
  </si>
  <si>
    <t>Tanda Tangan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</si>
</sst>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\.m"/>
    <numFmt numFmtId="166" formatCode="dd/mm/yyyy\ h:mm:ss"/>
  </numFmts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7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3"/>
      <color theme="1"/>
      <name val="Cambria"/>
      <family val="1"/>
    </font>
    <font>
      <sz val="10"/>
      <color theme="1"/>
      <name val="Arial"/>
      <family val="2"/>
    </font>
    <font>
      <b/>
      <sz val="12"/>
      <color theme="1"/>
      <name val="Cambria"/>
      <family val="1"/>
    </font>
    <font>
      <sz val="12"/>
      <color theme="1"/>
      <name val="Calibri"/>
      <family val="2"/>
    </font>
    <font>
      <sz val="12"/>
      <color theme="1"/>
      <name val="Cambria"/>
      <family val="1"/>
    </font>
    <font>
      <u/>
      <sz val="12"/>
      <color rgb="FF0000FF"/>
      <name val="Cambria"/>
      <family val="1"/>
    </font>
    <font>
      <sz val="12"/>
      <name val="Cambria"/>
      <family val="1"/>
    </font>
    <font>
      <u/>
      <sz val="12"/>
      <color rgb="FF1155CC"/>
      <name val="Cambria"/>
      <family val="1"/>
    </font>
    <font>
      <b/>
      <sz val="10"/>
      <color theme="1"/>
      <name val="Arial"/>
      <family val="2"/>
    </font>
    <font>
      <b/>
      <sz val="12"/>
      <color rgb="FFFFFFFF"/>
      <name val="Cambria"/>
      <family val="1"/>
    </font>
    <font>
      <b/>
      <sz val="8"/>
      <color theme="1"/>
      <name val="Cambria"/>
      <family val="1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164" fontId="5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2" fontId="12" fillId="5" borderId="0" xfId="0" applyNumberFormat="1" applyFont="1" applyFill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7" borderId="0" xfId="0" applyNumberFormat="1" applyFont="1" applyFill="1" applyAlignment="1">
      <alignment horizontal="center" vertical="center" wrapText="1"/>
    </xf>
    <xf numFmtId="2" fontId="3" fillId="8" borderId="0" xfId="0" applyNumberFormat="1" applyFont="1" applyFill="1" applyAlignment="1">
      <alignment horizontal="center" vertical="center" wrapText="1"/>
    </xf>
    <xf numFmtId="2" fontId="3" fillId="9" borderId="0" xfId="0" applyNumberFormat="1" applyFont="1" applyFill="1" applyAlignment="1">
      <alignment horizontal="center" vertical="center" wrapText="1"/>
    </xf>
    <xf numFmtId="2" fontId="3" fillId="10" borderId="0" xfId="0" applyNumberFormat="1" applyFont="1" applyFill="1" applyAlignment="1">
      <alignment horizontal="center" vertical="center" wrapText="1"/>
    </xf>
    <xf numFmtId="2" fontId="3" fillId="11" borderId="0" xfId="0" applyNumberFormat="1" applyFont="1" applyFill="1" applyAlignment="1">
      <alignment horizontal="center" vertical="center" wrapText="1"/>
    </xf>
    <xf numFmtId="166" fontId="3" fillId="0" borderId="0" xfId="0" applyNumberFormat="1" applyFont="1"/>
    <xf numFmtId="0" fontId="3" fillId="0" borderId="0" xfId="0" applyFont="1"/>
    <xf numFmtId="0" fontId="17" fillId="0" borderId="0" xfId="0" applyFont="1"/>
    <xf numFmtId="49" fontId="17" fillId="0" borderId="0" xfId="0" applyNumberFormat="1" applyFont="1"/>
    <xf numFmtId="0" fontId="3" fillId="0" borderId="0" xfId="0" applyFont="1" applyAlignment="1">
      <alignment horizontal="center"/>
    </xf>
    <xf numFmtId="2" fontId="5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4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2" fontId="3" fillId="9" borderId="0" xfId="0" applyNumberFormat="1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49" fontId="18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vertical="center"/>
    </xf>
    <xf numFmtId="0" fontId="19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2" fontId="5" fillId="12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2" fontId="5" fillId="11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2" fontId="5" fillId="13" borderId="0" xfId="0" applyNumberFormat="1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2" fontId="5" fillId="14" borderId="0" xfId="0" applyNumberFormat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2" fontId="5" fillId="15" borderId="0" xfId="0" applyNumberFormat="1" applyFont="1" applyFill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center" vertical="center" wrapText="1"/>
    </xf>
    <xf numFmtId="0" fontId="20" fillId="17" borderId="4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 wrapText="1"/>
    </xf>
    <xf numFmtId="0" fontId="20" fillId="19" borderId="4" xfId="0" applyFont="1" applyFill="1" applyBorder="1" applyAlignment="1">
      <alignment horizontal="center" vertical="center" wrapText="1"/>
    </xf>
    <xf numFmtId="0" fontId="20" fillId="20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horizontal="right" wrapText="1"/>
    </xf>
    <xf numFmtId="0" fontId="21" fillId="0" borderId="5" xfId="0" applyFont="1" applyBorder="1" applyAlignment="1">
      <alignment wrapText="1"/>
    </xf>
    <xf numFmtId="0" fontId="1" fillId="0" borderId="5" xfId="1" applyBorder="1" applyAlignment="1">
      <alignment wrapText="1"/>
    </xf>
    <xf numFmtId="10" fontId="21" fillId="0" borderId="5" xfId="0" applyNumberFormat="1" applyFont="1" applyBorder="1" applyAlignment="1">
      <alignment horizontal="right" wrapText="1"/>
    </xf>
    <xf numFmtId="0" fontId="21" fillId="16" borderId="5" xfId="0" applyFont="1" applyFill="1" applyBorder="1" applyAlignment="1">
      <alignment horizontal="center" wrapText="1"/>
    </xf>
    <xf numFmtId="0" fontId="21" fillId="17" borderId="5" xfId="0" applyFont="1" applyFill="1" applyBorder="1" applyAlignment="1">
      <alignment horizontal="center" wrapText="1"/>
    </xf>
    <xf numFmtId="0" fontId="21" fillId="18" borderId="5" xfId="0" applyFont="1" applyFill="1" applyBorder="1" applyAlignment="1">
      <alignment horizontal="center" wrapText="1"/>
    </xf>
    <xf numFmtId="0" fontId="21" fillId="19" borderId="5" xfId="0" applyFont="1" applyFill="1" applyBorder="1" applyAlignment="1">
      <alignment horizontal="center" wrapText="1"/>
    </xf>
    <xf numFmtId="0" fontId="21" fillId="20" borderId="5" xfId="0" applyFont="1" applyFill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22" fillId="0" borderId="8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0" xfId="0" applyFont="1"/>
    <xf numFmtId="0" fontId="23" fillId="21" borderId="14" xfId="0" applyFont="1" applyFill="1" applyBorder="1" applyAlignment="1">
      <alignment horizontal="center" vertical="center" wrapText="1"/>
    </xf>
    <xf numFmtId="0" fontId="23" fillId="21" borderId="15" xfId="0" applyFont="1" applyFill="1" applyBorder="1" applyAlignment="1">
      <alignment horizontal="center" vertical="center" wrapText="1"/>
    </xf>
    <xf numFmtId="0" fontId="23" fillId="21" borderId="16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2" fontId="22" fillId="0" borderId="19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2" fontId="22" fillId="0" borderId="24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2" fontId="22" fillId="21" borderId="15" xfId="0" applyNumberFormat="1" applyFont="1" applyFill="1" applyBorder="1" applyAlignment="1">
      <alignment vertical="center"/>
    </xf>
    <xf numFmtId="0" fontId="22" fillId="21" borderId="15" xfId="0" applyFont="1" applyFill="1" applyBorder="1" applyAlignment="1">
      <alignment horizontal="center" vertical="center" wrapText="1"/>
    </xf>
    <xf numFmtId="0" fontId="22" fillId="21" borderId="16" xfId="0" applyFont="1" applyFill="1" applyBorder="1" applyAlignment="1">
      <alignment vertical="center"/>
    </xf>
    <xf numFmtId="2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left" vertical="top" wrapText="1"/>
    </xf>
    <xf numFmtId="0" fontId="24" fillId="0" borderId="24" xfId="0" applyFont="1" applyBorder="1" applyAlignment="1">
      <alignment horizontal="left" vertical="center" wrapText="1"/>
    </xf>
    <xf numFmtId="0" fontId="22" fillId="21" borderId="14" xfId="0" applyFont="1" applyFill="1" applyBorder="1" applyAlignment="1">
      <alignment horizontal="center" vertical="center"/>
    </xf>
    <xf numFmtId="0" fontId="22" fillId="21" borderId="15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vertical="top" wrapText="1"/>
    </xf>
    <xf numFmtId="0" fontId="22" fillId="0" borderId="12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3" fillId="21" borderId="15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0" fillId="0" borderId="0" xfId="0"/>
    <xf numFmtId="0" fontId="4" fillId="0" borderId="0" xfId="0" applyFont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236779</xdr:colOff>
      <xdr:row>1</xdr:row>
      <xdr:rowOff>54455</xdr:rowOff>
    </xdr:from>
    <xdr:ext cx="773364" cy="1051622"/>
    <xdr:pic>
      <xdr:nvPicPr>
        <xdr:cNvPr id="5" name="Picture 3">
          <a:extLst>
            <a:ext uri="{FF2B5EF4-FFF2-40B4-BE49-F238E27FC236}">
              <a16:creationId xmlns:a16="http://schemas.microsoft.com/office/drawing/2014/main" id="{D566DF1D-3B7E-48C6-BD2E-111B1F9A0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599" y="953615"/>
          <a:ext cx="773364" cy="10516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.%20KASI%20KURIKULUM%20DAN%20PENILAIAN\10.%20DATA%20BUPATI\budi\PK%20Guru%202026%20Rev3.xlsx" TargetMode="External"/><Relationship Id="rId1" Type="http://schemas.openxmlformats.org/officeDocument/2006/relationships/externalLinkPath" Target="file:///D:\2.%20KASI%20KURIKULUM%20DAN%20PENILAIAN\10.%20DATA%20BUPATI\budi\PK%20Guru%202026%20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UNJUK"/>
      <sheetName val="Input Data Guru"/>
      <sheetName val="Ind PK"/>
      <sheetName val="Penilaian 360"/>
      <sheetName val="Cetak Raport PK Guru"/>
      <sheetName val="4 Kompetensi"/>
    </sheetNames>
    <sheetDataSet>
      <sheetData sheetId="0" refreshError="1"/>
      <sheetData sheetId="1">
        <row r="4">
          <cell r="D4" t="str">
            <v>: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.si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w5YebTA4H51IlHugVD8jZF_dijkFFV9C?usp=sharing" TargetMode="External"/><Relationship Id="rId21" Type="http://schemas.openxmlformats.org/officeDocument/2006/relationships/hyperlink" Target="https://drive.google.com/drive/folders/19W2ZtWYNWU04mlJeLrK6OGbbBIvIBdRd?usp=sharing" TargetMode="External"/><Relationship Id="rId42" Type="http://schemas.openxmlformats.org/officeDocument/2006/relationships/hyperlink" Target="https://drive.google.com/drive/folders/1EWEDuwdnG-9As9JiK6gNPHhHZiAp5QUh?usp=sharing" TargetMode="External"/><Relationship Id="rId63" Type="http://schemas.openxmlformats.org/officeDocument/2006/relationships/hyperlink" Target="https://drive.google.com/drive/folders/1p8DMzcTC2msijiseU9gmZY_qOSFMQjNY?usp=sharing" TargetMode="External"/><Relationship Id="rId84" Type="http://schemas.openxmlformats.org/officeDocument/2006/relationships/hyperlink" Target="https://drive.google.com/drive/folders/1mKCyUQWxZF2GTrTC1qt7iTyj-SfNJgmD?usp=sharing" TargetMode="External"/><Relationship Id="rId138" Type="http://schemas.openxmlformats.org/officeDocument/2006/relationships/hyperlink" Target="https://drive.google.com/drive/folders/1lRAq2f2mHqL6RFUQlS92K56WrNvAG1v2?usp=sharing" TargetMode="External"/><Relationship Id="rId159" Type="http://schemas.openxmlformats.org/officeDocument/2006/relationships/hyperlink" Target="https://drive.google.com/drive/folders/1bldTX6KNhHFukSRDLsZwM5XDyWCY-W2s?usp=sharing" TargetMode="External"/><Relationship Id="rId170" Type="http://schemas.openxmlformats.org/officeDocument/2006/relationships/hyperlink" Target="https://drive.google.com/drive/folders/13cpF5rfWk-aaUvDR0b_PY5b2ahB9d6CY?usp=sharing" TargetMode="External"/><Relationship Id="rId191" Type="http://schemas.openxmlformats.org/officeDocument/2006/relationships/hyperlink" Target="https://drive.google.com/drive/folders/1rkdI9l_M0W5U4Eoc6oB4ArJbGzrstagb?usp=sharing" TargetMode="External"/><Relationship Id="rId205" Type="http://schemas.openxmlformats.org/officeDocument/2006/relationships/hyperlink" Target="https://drive.google.com/drive/folders/14APw6MUkiC58FolMDNypgy5-cGl1bH9Y?usp=sharing" TargetMode="External"/><Relationship Id="rId107" Type="http://schemas.openxmlformats.org/officeDocument/2006/relationships/hyperlink" Target="https://drive.google.com/drive/folders/17hLIYjIhiysIZGdkiBXPS36x4Grb0WSB?usp=sharing" TargetMode="External"/><Relationship Id="rId11" Type="http://schemas.openxmlformats.org/officeDocument/2006/relationships/hyperlink" Target="https://drive.google.com/drive/folders/1I5XS8V9c934R1JGlMgDUL33eeabETi80?usp=sharing" TargetMode="External"/><Relationship Id="rId32" Type="http://schemas.openxmlformats.org/officeDocument/2006/relationships/hyperlink" Target="https://drive.google.com/drive/folders/1prXgtiyoJzCt66CWu7MuCmRMpi56uXdn?usp=sharing" TargetMode="External"/><Relationship Id="rId53" Type="http://schemas.openxmlformats.org/officeDocument/2006/relationships/hyperlink" Target="https://drive.google.com/drive/folders/1ive_AL5fvbYE_iumXqw4MDJVNG41zQP5?usp=sharing" TargetMode="External"/><Relationship Id="rId74" Type="http://schemas.openxmlformats.org/officeDocument/2006/relationships/hyperlink" Target="https://drive.google.com/drive/folders/1TLhIhEIHoq7jve6bU0a_gTq8l8M4xU7r?usp=sharing" TargetMode="External"/><Relationship Id="rId128" Type="http://schemas.openxmlformats.org/officeDocument/2006/relationships/hyperlink" Target="https://drive.google.com/drive/folders/1zvIAF2otwWyjv_nNVzW9oTq9ZTGy_8-W?usp=sharing" TargetMode="External"/><Relationship Id="rId149" Type="http://schemas.openxmlformats.org/officeDocument/2006/relationships/hyperlink" Target="https://drive.google.com/drive/folders/1JvbCQDwgEo8tVv-Iap-bP0-y_PHlQf8U?usp=sharing" TargetMode="External"/><Relationship Id="rId5" Type="http://schemas.openxmlformats.org/officeDocument/2006/relationships/hyperlink" Target="https://drive.google.com/drive/folders/1OgyTBFy3_2bJu0_H6dnTerh1XZfTZvth?usp=sharing" TargetMode="External"/><Relationship Id="rId95" Type="http://schemas.openxmlformats.org/officeDocument/2006/relationships/hyperlink" Target="https://drive.google.com/drive/folders/1zjPPMcDwA5C0zSUddEJyMjiN7x65Deqc?usp=sharing" TargetMode="External"/><Relationship Id="rId160" Type="http://schemas.openxmlformats.org/officeDocument/2006/relationships/hyperlink" Target="https://drive.google.com/drive/folders/1pEh7jnI1n7B7I8iAFDBbS9pb-q6xlcPb?usp=sharing" TargetMode="External"/><Relationship Id="rId181" Type="http://schemas.openxmlformats.org/officeDocument/2006/relationships/hyperlink" Target="https://drive.google.com/drive/folders/1RO9rdAMt-7Avr8AoPnhPXQSE3aQte8cE?usp=sharing" TargetMode="External"/><Relationship Id="rId216" Type="http://schemas.openxmlformats.org/officeDocument/2006/relationships/hyperlink" Target="https://drive.google.com/drive/folders/1JYe4CdDiYVwXB1iI7mrhlwOE9vy9rudf?usp=sharing" TargetMode="External"/><Relationship Id="rId22" Type="http://schemas.openxmlformats.org/officeDocument/2006/relationships/hyperlink" Target="https://drive.google.com/drive/folders/1fBOJmCzjNpLW_o7FqF0T59Q6BAMfVIyP?usp=sharing" TargetMode="External"/><Relationship Id="rId43" Type="http://schemas.openxmlformats.org/officeDocument/2006/relationships/hyperlink" Target="https://drive.google.com/drive/folders/18qcgFcmR6kkThbFDMoAJdgdbxGZ7MmOF?usp=sharing" TargetMode="External"/><Relationship Id="rId64" Type="http://schemas.openxmlformats.org/officeDocument/2006/relationships/hyperlink" Target="https://drive.google.com/drive/folders/15Q6SRR2Eiw4oTgiOZIa5o1l81W91IWeT?usp=sharing" TargetMode="External"/><Relationship Id="rId118" Type="http://schemas.openxmlformats.org/officeDocument/2006/relationships/hyperlink" Target="https://drive.google.com/drive/folders/1h-8QmRj-i6PxTyLXB2kTzMF-M9AG7Th6?usp=sharing" TargetMode="External"/><Relationship Id="rId139" Type="http://schemas.openxmlformats.org/officeDocument/2006/relationships/hyperlink" Target="https://drive.google.com/drive/folders/19m4PDLshA-bb_SASnxNNAc2WmvZ-zMqH?usp=sharing" TargetMode="External"/><Relationship Id="rId85" Type="http://schemas.openxmlformats.org/officeDocument/2006/relationships/hyperlink" Target="https://drive.google.com/drive/folders/194IWfhMeJSDqm77ZUKPh1d3vMrH16Bfn?usp=sharing" TargetMode="External"/><Relationship Id="rId150" Type="http://schemas.openxmlformats.org/officeDocument/2006/relationships/hyperlink" Target="https://drive.google.com/drive/folders/1L95dfeo4-Ct0U8J4hPCqrMzJhpeV2cey?usp=sharing" TargetMode="External"/><Relationship Id="rId171" Type="http://schemas.openxmlformats.org/officeDocument/2006/relationships/hyperlink" Target="https://drive.google.com/drive/folders/1Le16wiSHdemEi82DTGBe-PwtAXaEtDU6?usp=sharing" TargetMode="External"/><Relationship Id="rId192" Type="http://schemas.openxmlformats.org/officeDocument/2006/relationships/hyperlink" Target="https://drive.google.com/drive/folders/1QRsy27oQwkM76oo8AhiAMiA-8v0IrqUd?usp=sharing" TargetMode="External"/><Relationship Id="rId206" Type="http://schemas.openxmlformats.org/officeDocument/2006/relationships/hyperlink" Target="https://drive.google.com/drive/folders/19ZBHz7wbxlgXJqiY_Lg0lOIXVFchJmp_?usp=sharing" TargetMode="External"/><Relationship Id="rId12" Type="http://schemas.openxmlformats.org/officeDocument/2006/relationships/hyperlink" Target="https://drive.google.com/drive/folders/1YRYnUVDYfwezjtaTNksPKXUc56e5cdmq?usp=sharing" TargetMode="External"/><Relationship Id="rId33" Type="http://schemas.openxmlformats.org/officeDocument/2006/relationships/hyperlink" Target="https://drive.google.com/drive/folders/1HF3J2DvBZ5Ggjcqp3RihLsKiTk0m3cZl?usp=sharing" TargetMode="External"/><Relationship Id="rId108" Type="http://schemas.openxmlformats.org/officeDocument/2006/relationships/hyperlink" Target="https://drive.google.com/drive/folders/18bKI7T92-snCffVS1STRSgQaToc5TAi2?usp=sharing" TargetMode="External"/><Relationship Id="rId129" Type="http://schemas.openxmlformats.org/officeDocument/2006/relationships/hyperlink" Target="https://drive.google.com/drive/folders/1kgFuRpvaGI26W4TraW2tyCR7DSeu7fVT?usp=sharing" TargetMode="External"/><Relationship Id="rId54" Type="http://schemas.openxmlformats.org/officeDocument/2006/relationships/hyperlink" Target="https://drive.google.com/drive/folders/1lVpnK8-Vc9zMAzBgrNFUzgWo0dnhnUdB?usp=sharing" TargetMode="External"/><Relationship Id="rId75" Type="http://schemas.openxmlformats.org/officeDocument/2006/relationships/hyperlink" Target="https://drive.google.com/drive/folders/1kPgZkS8_gAkTHxNpjPQ0g0beFdM5-BJc?usp=sharing" TargetMode="External"/><Relationship Id="rId96" Type="http://schemas.openxmlformats.org/officeDocument/2006/relationships/hyperlink" Target="https://drive.google.com/drive/folders/1sSfdjqcA6vGMnqj5FGHRyU3gsJ2YAvUZ?usp=sharing" TargetMode="External"/><Relationship Id="rId140" Type="http://schemas.openxmlformats.org/officeDocument/2006/relationships/hyperlink" Target="https://drive.google.com/drive/folders/1h6tBeHwo3KNR79PnhAvjk6cX90FlQTyS?usp=sharing" TargetMode="External"/><Relationship Id="rId161" Type="http://schemas.openxmlformats.org/officeDocument/2006/relationships/hyperlink" Target="https://drive.google.com/drive/folders/1orqivd-rVT6dqql0xkZ3ZwospBHsjsLB?usp=sharing" TargetMode="External"/><Relationship Id="rId182" Type="http://schemas.openxmlformats.org/officeDocument/2006/relationships/hyperlink" Target="https://drive.google.com/drive/folders/1RO9rdAMt-7Avr8AoPnhPXQSE3aQte8cE?usp=sharing" TargetMode="External"/><Relationship Id="rId217" Type="http://schemas.openxmlformats.org/officeDocument/2006/relationships/hyperlink" Target="https://drive.google.com/drive/folders/1Hfcz1poicnEhZmBzrlFGEQzCCL83j2Iq?usp=sharing" TargetMode="External"/><Relationship Id="rId6" Type="http://schemas.openxmlformats.org/officeDocument/2006/relationships/hyperlink" Target="https://drive.google.com/drive/folders/1rqgPOvDQYMkMbITdF-StpP-mzyCpKdQi?usp=sharing" TargetMode="External"/><Relationship Id="rId23" Type="http://schemas.openxmlformats.org/officeDocument/2006/relationships/hyperlink" Target="https://drive.google.com/drive/folders/1wiX3fL8MwwZrNJLzctJ7K5aVW2QYI2yn?usp=sharing" TargetMode="External"/><Relationship Id="rId119" Type="http://schemas.openxmlformats.org/officeDocument/2006/relationships/hyperlink" Target="https://drive.google.com/drive/folders/1h-8QmRj-i6PxTyLXB2kTzMF-M9AG7Th6?usp=sharing" TargetMode="External"/><Relationship Id="rId44" Type="http://schemas.openxmlformats.org/officeDocument/2006/relationships/hyperlink" Target="https://drive.google.com/drive/folders/1lpQyAJXzVGE9CzH_bkvULR8neq5tFGvg?usp=sharing" TargetMode="External"/><Relationship Id="rId65" Type="http://schemas.openxmlformats.org/officeDocument/2006/relationships/hyperlink" Target="https://drive.google.com/drive/folders/1F4Brwx6OUayoFYecLeWuXYYk4I19f63Q?usp=sharing" TargetMode="External"/><Relationship Id="rId86" Type="http://schemas.openxmlformats.org/officeDocument/2006/relationships/hyperlink" Target="https://drive.google.com/drive/folders/1tC6DaTRHTxAPMaLYDz0ll8Y91Y9Xw0Z-?usp=sharing" TargetMode="External"/><Relationship Id="rId130" Type="http://schemas.openxmlformats.org/officeDocument/2006/relationships/hyperlink" Target="https://drive.google.com/drive/folders/1s0Qp4qihzc03-ax92Kh3Q3am73l2CIFy?usp=sharing" TargetMode="External"/><Relationship Id="rId151" Type="http://schemas.openxmlformats.org/officeDocument/2006/relationships/hyperlink" Target="https://drive.google.com/drive/folders/1QM9AUz_a1wwLzpNmd_sB6lB0WIZsMGHW?usp=sharing" TargetMode="External"/><Relationship Id="rId172" Type="http://schemas.openxmlformats.org/officeDocument/2006/relationships/hyperlink" Target="https://drive.google.com/drive/folders/178LrSGVodNWwev6SIUnVRDhcxOHJX5w8?usp=sharing" TargetMode="External"/><Relationship Id="rId193" Type="http://schemas.openxmlformats.org/officeDocument/2006/relationships/hyperlink" Target="https://drive.google.com/drive/folders/1QRsy27oQwkM76oo8AhiAMiA-8v0IrqUd?usp=sharing" TargetMode="External"/><Relationship Id="rId207" Type="http://schemas.openxmlformats.org/officeDocument/2006/relationships/hyperlink" Target="https://drive.google.com/drive/folders/1uFzRiik9MhahbKHjawQv_8qX850Iief1?usp=sharing" TargetMode="External"/><Relationship Id="rId13" Type="http://schemas.openxmlformats.org/officeDocument/2006/relationships/hyperlink" Target="https://drive.google.com/drive/folders/1gLVQTKU61-z5Y7Jv4h_J1WjA5DtPRmFn?usp=sharing" TargetMode="External"/><Relationship Id="rId109" Type="http://schemas.openxmlformats.org/officeDocument/2006/relationships/hyperlink" Target="https://drive.google.com/drive/folders/1Rgge9xesRfP7o5MCpYMwWAs877bZzuYu?usp=sharing" TargetMode="External"/><Relationship Id="rId34" Type="http://schemas.openxmlformats.org/officeDocument/2006/relationships/hyperlink" Target="https://drive.google.com/drive/folders/1eCacD-1yUMYnb3adc9mobeVpxfuSOFke?usp=sharing" TargetMode="External"/><Relationship Id="rId55" Type="http://schemas.openxmlformats.org/officeDocument/2006/relationships/hyperlink" Target="https://drive.google.com/drive/folders/1lVpnK8-Vc9zMAzBgrNFUzgWo0dnhnUdB?usp=sharing" TargetMode="External"/><Relationship Id="rId76" Type="http://schemas.openxmlformats.org/officeDocument/2006/relationships/hyperlink" Target="https://drive.google.com/drive/folders/1kPgZkS8_gAkTHxNpjPQ0g0beFdM5-BJc?usp=sharing" TargetMode="External"/><Relationship Id="rId97" Type="http://schemas.openxmlformats.org/officeDocument/2006/relationships/hyperlink" Target="https://drive.google.com/drive/folders/1nwY5Qq3FWdmSLzfDSRXW02awRh3mZ9Rb?usp=sharing" TargetMode="External"/><Relationship Id="rId120" Type="http://schemas.openxmlformats.org/officeDocument/2006/relationships/hyperlink" Target="https://drive.google.com/drive/folders/1rWIjNa_FbtEwb3ZuganhL_cS-oi0iGZI?usp=sharing" TargetMode="External"/><Relationship Id="rId141" Type="http://schemas.openxmlformats.org/officeDocument/2006/relationships/hyperlink" Target="https://drive.google.com/drive/folders/1szprtdp1jo0W3s_K-q3HP055aWqPIyez?usp=sharing" TargetMode="External"/><Relationship Id="rId7" Type="http://schemas.openxmlformats.org/officeDocument/2006/relationships/hyperlink" Target="https://drive.google.com/drive/folders/1WkC2_Q43ewpVY_7l9TowB8KP_8vUfNQ6?usp=sharing" TargetMode="External"/><Relationship Id="rId162" Type="http://schemas.openxmlformats.org/officeDocument/2006/relationships/hyperlink" Target="https://drive.google.com/drive/folders/1pIdJ0fqmEowBKav9eh-YApSopV94Vcu_?usp=sharing" TargetMode="External"/><Relationship Id="rId183" Type="http://schemas.openxmlformats.org/officeDocument/2006/relationships/hyperlink" Target="https://drive.google.com/drive/folders/1Pd3P6VbzMbr8_N1iB7Gx8XI8yBwgvixZ?usp=sharing" TargetMode="External"/><Relationship Id="rId218" Type="http://schemas.openxmlformats.org/officeDocument/2006/relationships/hyperlink" Target="https://drive.google.com/drive/folders/14u9NyjtgniUb3sDJBi3k6P63FgYq3mPu?usp=sharing" TargetMode="External"/><Relationship Id="rId24" Type="http://schemas.openxmlformats.org/officeDocument/2006/relationships/hyperlink" Target="https://drive.google.com/drive/folders/1VbrTab1y0J_fJaW0BxBaj7hIQgckTsMb?usp=sharing" TargetMode="External"/><Relationship Id="rId45" Type="http://schemas.openxmlformats.org/officeDocument/2006/relationships/hyperlink" Target="https://drive.google.com/drive/folders/1f4cFmkQ7-vNQNim6J1GCAaIdwL3U9dEH?usp=sharing" TargetMode="External"/><Relationship Id="rId66" Type="http://schemas.openxmlformats.org/officeDocument/2006/relationships/hyperlink" Target="https://drive.google.com/drive/folders/1e7Z12QBYk8XRuZoW-67tqQDCqZf_d_UY?usp=sharing" TargetMode="External"/><Relationship Id="rId87" Type="http://schemas.openxmlformats.org/officeDocument/2006/relationships/hyperlink" Target="https://drive.google.com/drive/folders/1KMEbvCIsvh792cA2abJ91cbEIEXlUm0J?usp=sharing" TargetMode="External"/><Relationship Id="rId110" Type="http://schemas.openxmlformats.org/officeDocument/2006/relationships/hyperlink" Target="https://drive.google.com/drive/folders/1Rgge9xesRfP7o5MCpYMwWAs877bZzuYu?usp=sharing" TargetMode="External"/><Relationship Id="rId131" Type="http://schemas.openxmlformats.org/officeDocument/2006/relationships/hyperlink" Target="https://drive.google.com/drive/folders/1S4NcS07W2Vt-_1BYs-mIGH_D1Y-mAk0j?usp=sharing" TargetMode="External"/><Relationship Id="rId152" Type="http://schemas.openxmlformats.org/officeDocument/2006/relationships/hyperlink" Target="https://drive.google.com/drive/folders/1VxDyPBDuD2I9ChXkfZc_O2QZZu16IZJk?usp=sharing" TargetMode="External"/><Relationship Id="rId173" Type="http://schemas.openxmlformats.org/officeDocument/2006/relationships/hyperlink" Target="https://drive.google.com/drive/folders/1qQZGM1yEaMPmVbWAJNHuEcRPo3ARJdBy?usp=sharing" TargetMode="External"/><Relationship Id="rId194" Type="http://schemas.openxmlformats.org/officeDocument/2006/relationships/hyperlink" Target="https://drive.google.com/drive/folders/1VaBgSezKUuMdNeX25b53PESysxJEXZ88?usp=sharing" TargetMode="External"/><Relationship Id="rId208" Type="http://schemas.openxmlformats.org/officeDocument/2006/relationships/hyperlink" Target="https://drive.google.com/drive/folders/1l9abxYlZYOeaqpoRKguEt6-65azmlp1_?usp=sharing" TargetMode="External"/><Relationship Id="rId14" Type="http://schemas.openxmlformats.org/officeDocument/2006/relationships/hyperlink" Target="https://drive.google.com/drive/folders/1vuEdfaUndHHZ7RnSGb127gHiGImCjFqB?usp=sharing" TargetMode="External"/><Relationship Id="rId30" Type="http://schemas.openxmlformats.org/officeDocument/2006/relationships/hyperlink" Target="https://drive.google.com/drive/folders/1_VO5d6ed2JJSkvm2xhpb7TZ8zoGLjTAB?usp=sharing" TargetMode="External"/><Relationship Id="rId35" Type="http://schemas.openxmlformats.org/officeDocument/2006/relationships/hyperlink" Target="https://drive.google.com/drive/folders/1R2ablrk9snbgfeAmT4kVMLtjnbL8H6YV?usp=sharing" TargetMode="External"/><Relationship Id="rId56" Type="http://schemas.openxmlformats.org/officeDocument/2006/relationships/hyperlink" Target="https://drive.google.com/drive/folders/1ZP8izJq-VZ3bDsHKcUUzOWNDZNc_5HPJ?usp=sharing" TargetMode="External"/><Relationship Id="rId77" Type="http://schemas.openxmlformats.org/officeDocument/2006/relationships/hyperlink" Target="https://drive.google.com/drive/folders/1kPgZkS8_gAkTHxNpjPQ0g0beFdM5-BJc?usp=sharing" TargetMode="External"/><Relationship Id="rId100" Type="http://schemas.openxmlformats.org/officeDocument/2006/relationships/hyperlink" Target="https://drive.google.com/drive/folders/1n_eGf5OxeMqSPqt5EGkfOqBDpWm11HFO?usp=sharing" TargetMode="External"/><Relationship Id="rId105" Type="http://schemas.openxmlformats.org/officeDocument/2006/relationships/hyperlink" Target="https://drive.google.com/drive/folders/114sC0N0Wa-0JQMgHbPDcl7nW86g7NO0g?usp=sharing" TargetMode="External"/><Relationship Id="rId126" Type="http://schemas.openxmlformats.org/officeDocument/2006/relationships/hyperlink" Target="https://drive.google.com/drive/folders/14ZnliumyxiswOjnjYRhVF0Eb85-qNeLC?usp=sharing" TargetMode="External"/><Relationship Id="rId147" Type="http://schemas.openxmlformats.org/officeDocument/2006/relationships/hyperlink" Target="https://drive.google.com/drive/folders/1o5d1D_ZvAoTLeb5uT5HuSA0x_SDWyn6P?usp=sharing" TargetMode="External"/><Relationship Id="rId168" Type="http://schemas.openxmlformats.org/officeDocument/2006/relationships/hyperlink" Target="https://drive.google.com/drive/folders/1-gF18jq1PC_DVR0rJ8B4MhKeEkJHATV1?usp=sharing" TargetMode="External"/><Relationship Id="rId8" Type="http://schemas.openxmlformats.org/officeDocument/2006/relationships/hyperlink" Target="https://drive.google.com/drive/folders/144Jo2RvuD7SIIJqSF7fZKBCcOB6taBoU?usp=sharing" TargetMode="External"/><Relationship Id="rId51" Type="http://schemas.openxmlformats.org/officeDocument/2006/relationships/hyperlink" Target="https://drive.google.com/drive/folders/1x40d817xIlwIN7o7MfHc9KsMq2t7SttF?usp=sharing" TargetMode="External"/><Relationship Id="rId72" Type="http://schemas.openxmlformats.org/officeDocument/2006/relationships/hyperlink" Target="https://drive.google.com/drive/folders/1pbBblzaQ9owFkSdj5GmzByDTDqtNFaXc?usp=sharing" TargetMode="External"/><Relationship Id="rId93" Type="http://schemas.openxmlformats.org/officeDocument/2006/relationships/hyperlink" Target="https://drive.google.com/drive/folders/1_eLszTFtJ2TwyEDsLdPipLBo3sQCiIK_?usp=sharing" TargetMode="External"/><Relationship Id="rId98" Type="http://schemas.openxmlformats.org/officeDocument/2006/relationships/hyperlink" Target="https://drive.google.com/drive/folders/1Swm-n_4sm0XjgD0lgydAjDFb5aOw2yEc?usp=sharing" TargetMode="External"/><Relationship Id="rId121" Type="http://schemas.openxmlformats.org/officeDocument/2006/relationships/hyperlink" Target="https://drive.google.com/drive/folders/1K0PsdJ3GaFJUx44fksOkZIa-kEsA_KrB?usp=sharing" TargetMode="External"/><Relationship Id="rId142" Type="http://schemas.openxmlformats.org/officeDocument/2006/relationships/hyperlink" Target="https://drive.google.com/drive/folders/1xFcNr0il4B2SoZKYN48rNbNy-rzxZ01q?usp=sharing" TargetMode="External"/><Relationship Id="rId163" Type="http://schemas.openxmlformats.org/officeDocument/2006/relationships/hyperlink" Target="https://drive.google.com/drive/folders/1ar5K-RVuLxpmfe9C9fFHngmZG-L7U1wG?usp=sharing" TargetMode="External"/><Relationship Id="rId184" Type="http://schemas.openxmlformats.org/officeDocument/2006/relationships/hyperlink" Target="https://drive.google.com/drive/folders/1EvsaG_fozppXuOWx2OVBme41K8CjY-7j?usp=sharing" TargetMode="External"/><Relationship Id="rId189" Type="http://schemas.openxmlformats.org/officeDocument/2006/relationships/hyperlink" Target="https://drive.google.com/drive/folders/16S3KjY34a9nro9iPRB_13N2IXBtnRj44?usp=sharing" TargetMode="External"/><Relationship Id="rId3" Type="http://schemas.openxmlformats.org/officeDocument/2006/relationships/hyperlink" Target="https://drive.google.com/drive/folders/1ERur9mLsjSUhq9JW_YEZLLfv6PcysvEx?usp=sharing" TargetMode="External"/><Relationship Id="rId214" Type="http://schemas.openxmlformats.org/officeDocument/2006/relationships/hyperlink" Target="https://drive.google.com/drive/folders/1W27t1AcIJdd7YvNxGCEeP5L3kTRd55bp?usp=sharing" TargetMode="External"/><Relationship Id="rId25" Type="http://schemas.openxmlformats.org/officeDocument/2006/relationships/hyperlink" Target="https://drive.google.com/drive/folders/1IgR9isWqYN1rdO5C-VoEEV7AxSd-9LPu?usp=sharing" TargetMode="External"/><Relationship Id="rId46" Type="http://schemas.openxmlformats.org/officeDocument/2006/relationships/hyperlink" Target="https://drive.google.com/drive/folders/1RSlmVFMPu5NNa-lSRKEelMS2WSbdpufD?usp=sharing" TargetMode="External"/><Relationship Id="rId67" Type="http://schemas.openxmlformats.org/officeDocument/2006/relationships/hyperlink" Target="https://drive.google.com/drive/folders/1hpgztaZQHyvT0GeFhpkFslMXmjC2VGb-?usp=sharing" TargetMode="External"/><Relationship Id="rId116" Type="http://schemas.openxmlformats.org/officeDocument/2006/relationships/hyperlink" Target="https://drive.google.com/drive/folders/1nFFGpQUVDYg7DxmczNeIoAIB4yT-Z39p?usp=sharing" TargetMode="External"/><Relationship Id="rId137" Type="http://schemas.openxmlformats.org/officeDocument/2006/relationships/hyperlink" Target="https://drive.google.com/drive/folders/19sLgUR48ztTN3jWDEYdWqIOpub5WLVaT?usp=sharing" TargetMode="External"/><Relationship Id="rId158" Type="http://schemas.openxmlformats.org/officeDocument/2006/relationships/hyperlink" Target="https://drive.google.com/drive/folders/1V5fSPzCIphp-muZUgmygz9vfu6uKHroq?usp=sharing" TargetMode="External"/><Relationship Id="rId20" Type="http://schemas.openxmlformats.org/officeDocument/2006/relationships/hyperlink" Target="https://drive.google.com/drive/folders/16vL21jWnRmNku0DBk0I4ExVNj1b8pMOY?usp=sharing" TargetMode="External"/><Relationship Id="rId41" Type="http://schemas.openxmlformats.org/officeDocument/2006/relationships/hyperlink" Target="https://drive.google.com/drive/folders/1CtXYLgMLDMMr0Tr7JZBuil82FbjUZdlA?usp=sharing" TargetMode="External"/><Relationship Id="rId62" Type="http://schemas.openxmlformats.org/officeDocument/2006/relationships/hyperlink" Target="https://drive.google.com/drive/folders/1UdwjaDFNBeSxAdgXY861hhB9QqC5xkzv?usp=sharing" TargetMode="External"/><Relationship Id="rId83" Type="http://schemas.openxmlformats.org/officeDocument/2006/relationships/hyperlink" Target="https://drive.google.com/drive/folders/1N7ybnlrX0EsXYX2pTBTnALl_aGAjePNu?usp=sharing" TargetMode="External"/><Relationship Id="rId88" Type="http://schemas.openxmlformats.org/officeDocument/2006/relationships/hyperlink" Target="https://drive.google.com/drive/folders/1leREXCukjxSLf9BZo5_YDbiRfuNt4r05?usp=sharing" TargetMode="External"/><Relationship Id="rId111" Type="http://schemas.openxmlformats.org/officeDocument/2006/relationships/hyperlink" Target="https://drive.google.com/drive/folders/1JSDZ47CerA19LeEGG1FvLMxT58LjASBp?usp=sharing" TargetMode="External"/><Relationship Id="rId132" Type="http://schemas.openxmlformats.org/officeDocument/2006/relationships/hyperlink" Target="https://drive.google.com/drive/folders/1LjzTbnT_5_QVcjtZXWoN4DBmw0rFriii?usp=sharing" TargetMode="External"/><Relationship Id="rId153" Type="http://schemas.openxmlformats.org/officeDocument/2006/relationships/hyperlink" Target="https://drive.google.com/drive/folders/1QBn-C2CTKKVQFOSVKlPs2VHtB-DJVS6Y?usp=sharing" TargetMode="External"/><Relationship Id="rId174" Type="http://schemas.openxmlformats.org/officeDocument/2006/relationships/hyperlink" Target="https://drive.google.com/drive/folders/1LRRV8cOWgA9-1qXNVGwFU53ICMLgu_MF?usp=sharing" TargetMode="External"/><Relationship Id="rId179" Type="http://schemas.openxmlformats.org/officeDocument/2006/relationships/hyperlink" Target="https://drive.google.com/drive/folders/14DrAL0KYxQ5AxS81Odbu3Xixkwa3ZUXB?usp=sharing" TargetMode="External"/><Relationship Id="rId195" Type="http://schemas.openxmlformats.org/officeDocument/2006/relationships/hyperlink" Target="https://drive.google.com/drive/folders/17f5X_9U59hRWP0PnpQdeQbXEUNCG3dyd?usp=sharing" TargetMode="External"/><Relationship Id="rId209" Type="http://schemas.openxmlformats.org/officeDocument/2006/relationships/hyperlink" Target="https://drive.google.com/drive/folders/1Nz8wC7LIdMbCK-070o0IfcDWdrkY-GXZ?usp=sharing" TargetMode="External"/><Relationship Id="rId190" Type="http://schemas.openxmlformats.org/officeDocument/2006/relationships/hyperlink" Target="https://drive.google.com/drive/folders/1GlTjQffr6Zxum8ia8I3579-DNZOMm9Zs?usp=sharing" TargetMode="External"/><Relationship Id="rId204" Type="http://schemas.openxmlformats.org/officeDocument/2006/relationships/hyperlink" Target="https://drive.google.com/drive/folders/1BsOjjjLEua1vlg_R0NAayxnBYdPYUwB1?usp=sharing" TargetMode="External"/><Relationship Id="rId15" Type="http://schemas.openxmlformats.org/officeDocument/2006/relationships/hyperlink" Target="https://drive.google.com/drive/folders/1vuEdfaUndHHZ7RnSGb127gHiGImCjFqB?usp=sharing" TargetMode="External"/><Relationship Id="rId36" Type="http://schemas.openxmlformats.org/officeDocument/2006/relationships/hyperlink" Target="https://drive.google.com/drive/folders/1glrgu18zxg4a68E5FHVz_hpxBuzh0S_I?usp=sharing" TargetMode="External"/><Relationship Id="rId57" Type="http://schemas.openxmlformats.org/officeDocument/2006/relationships/hyperlink" Target="https://drive.google.com/drive/folders/10V9e8XZMiJRegLxO20-RfXvaXyDuvlns?usp=sharing" TargetMode="External"/><Relationship Id="rId106" Type="http://schemas.openxmlformats.org/officeDocument/2006/relationships/hyperlink" Target="https://drive.google.com/drive/folders/1DbtY4UN8hCvoLrCeqf4BsqpnzKWaVSTr?usp=sharing" TargetMode="External"/><Relationship Id="rId127" Type="http://schemas.openxmlformats.org/officeDocument/2006/relationships/hyperlink" Target="https://drive.google.com/drive/folders/1QTpN1SG7COhy70hNCNiXiRm8RmZ1CUur?usp=sharing" TargetMode="External"/><Relationship Id="rId10" Type="http://schemas.openxmlformats.org/officeDocument/2006/relationships/hyperlink" Target="https://drive.google.com/drive/folders/1P8c7kD0Sr63BPGkdw17sG4U-eCg_eXxW?usp=sharing" TargetMode="External"/><Relationship Id="rId31" Type="http://schemas.openxmlformats.org/officeDocument/2006/relationships/hyperlink" Target="https://drive.google.com/drive/folders/1_qxqYXYYVKX2dJ9T21ygvZHil8rp6ymv?usp=sharing" TargetMode="External"/><Relationship Id="rId52" Type="http://schemas.openxmlformats.org/officeDocument/2006/relationships/hyperlink" Target="https://drive.google.com/drive/folders/1XxrUk4kKg06eKvwbNiAghKx9YdJaJ5WY?usp=sharing" TargetMode="External"/><Relationship Id="rId73" Type="http://schemas.openxmlformats.org/officeDocument/2006/relationships/hyperlink" Target="https://drive.google.com/drive/folders/1pbBblzaQ9owFkSdj5GmzByDTDqtNFaXc?usp=sharing" TargetMode="External"/><Relationship Id="rId78" Type="http://schemas.openxmlformats.org/officeDocument/2006/relationships/hyperlink" Target="https://drive.google.com/drive/folders/107OYHPrlgnpWJwhuEV7pgtUPADJrI1rT?usp=sharing" TargetMode="External"/><Relationship Id="rId94" Type="http://schemas.openxmlformats.org/officeDocument/2006/relationships/hyperlink" Target="https://drive.google.com/drive/folders/1MYCudkZlH_strcLrhBkWPaRNLGFkngwU?usp=sharing" TargetMode="External"/><Relationship Id="rId99" Type="http://schemas.openxmlformats.org/officeDocument/2006/relationships/hyperlink" Target="https://drive.google.com/drive/folders/1M_kAMKM9QyPQRa-CL2mISR8yaz5ZgEjg?usp=sharing" TargetMode="External"/><Relationship Id="rId101" Type="http://schemas.openxmlformats.org/officeDocument/2006/relationships/hyperlink" Target="https://drive.google.com/drive/folders/1byRrKg_mgaTNzlHR84dsGlLvl1fggpQa?usp=sharing" TargetMode="External"/><Relationship Id="rId122" Type="http://schemas.openxmlformats.org/officeDocument/2006/relationships/hyperlink" Target="https://drive.google.com/drive/folders/1NKt2LDl9eeKzkPu5DAAbWu0NB0h8L6wt?usp=sharing" TargetMode="External"/><Relationship Id="rId143" Type="http://schemas.openxmlformats.org/officeDocument/2006/relationships/hyperlink" Target="https://drive.google.com/drive/folders/1Hqw9WEJsqb8FoG2fB_dXlWSvoG3zfV0G?usp=sharing" TargetMode="External"/><Relationship Id="rId148" Type="http://schemas.openxmlformats.org/officeDocument/2006/relationships/hyperlink" Target="https://drive.google.com/drive/folders/1MemB7QwOAUJxbKK72b3pzH0qjgVFe1sC?usp=sharing" TargetMode="External"/><Relationship Id="rId164" Type="http://schemas.openxmlformats.org/officeDocument/2006/relationships/hyperlink" Target="https://drive.google.com/drive/folders/1YHpUtMKGwvKp0_54IMgaaEQAnsQgmocM?usp=sharing" TargetMode="External"/><Relationship Id="rId169" Type="http://schemas.openxmlformats.org/officeDocument/2006/relationships/hyperlink" Target="https://drive.google.com/drive/folders/1Yo63umgdVW02dFNt8kFwCkDkm16Tjvn-?usp=sharing" TargetMode="External"/><Relationship Id="rId185" Type="http://schemas.openxmlformats.org/officeDocument/2006/relationships/hyperlink" Target="https://drive.google.com/drive/folders/1u-nkU4nz4EZvJangtRheJ4ClIaNqeJni?usp=sharing" TargetMode="External"/><Relationship Id="rId4" Type="http://schemas.openxmlformats.org/officeDocument/2006/relationships/hyperlink" Target="https://drive.google.com/drive/folders/1W2eUM6dYG6LsY-tLKJWwC2-l8jYeAygx?usp=sharing" TargetMode="External"/><Relationship Id="rId9" Type="http://schemas.openxmlformats.org/officeDocument/2006/relationships/hyperlink" Target="https://drive.google.com/drive/folders/19ZVlsxEF4kck_3H-yM67pFQOc8H9zjAg?usp=sharing" TargetMode="External"/><Relationship Id="rId180" Type="http://schemas.openxmlformats.org/officeDocument/2006/relationships/hyperlink" Target="https://drive.google.com/drive/folders/1eiSixBhEg4wkhQ9rsI-6UYcN6eiOxqy-?usp=sharing" TargetMode="External"/><Relationship Id="rId210" Type="http://schemas.openxmlformats.org/officeDocument/2006/relationships/hyperlink" Target="https://drive.google.com/drive/folders/1C736LiPL77c8aArJyETwwM9ZH8j77obQ?usp=sharing" TargetMode="External"/><Relationship Id="rId215" Type="http://schemas.openxmlformats.org/officeDocument/2006/relationships/hyperlink" Target="https://drive.google.com/drive/folders/12vJRRhbaoW5fqLKViD9tHRy6XYzK9Aup?usp=sharing" TargetMode="External"/><Relationship Id="rId26" Type="http://schemas.openxmlformats.org/officeDocument/2006/relationships/hyperlink" Target="https://drive.google.com/drive/folders/1of10pGILtR8bXtYT9Re8gPGNXOLWNnss?usp=sharing" TargetMode="External"/><Relationship Id="rId47" Type="http://schemas.openxmlformats.org/officeDocument/2006/relationships/hyperlink" Target="https://drive.google.com/drive/folders/1QpU2hD-M4zvyHz5xJBrVpKhGA6NEzdgo?usp=sharing" TargetMode="External"/><Relationship Id="rId68" Type="http://schemas.openxmlformats.org/officeDocument/2006/relationships/hyperlink" Target="https://drive.google.com/drive/folders/1TfVl1jb0O6b9TI5h2jn2zIc2segEM6WQ?usp=sharing" TargetMode="External"/><Relationship Id="rId89" Type="http://schemas.openxmlformats.org/officeDocument/2006/relationships/hyperlink" Target="https://drive.google.com/drive/folders/1pJBZKFyth4CBQLiG0zzjcfPvISouFZNV?usp=sharing" TargetMode="External"/><Relationship Id="rId112" Type="http://schemas.openxmlformats.org/officeDocument/2006/relationships/hyperlink" Target="https://drive.google.com/drive/folders/11rH-SthpRl4IMRq37Wm4teAmI2TlezSS?usp=sharing" TargetMode="External"/><Relationship Id="rId133" Type="http://schemas.openxmlformats.org/officeDocument/2006/relationships/hyperlink" Target="https://drive.google.com/drive/folders/1XQmMaCGbopr8_p5tSDWcZv6VAu2mzSAP?usp=sharing" TargetMode="External"/><Relationship Id="rId154" Type="http://schemas.openxmlformats.org/officeDocument/2006/relationships/hyperlink" Target="https://drive.google.com/drive/folders/17IA8_SaFduOR3O9WClcZHwai3AOm26Vn?usp=sharing" TargetMode="External"/><Relationship Id="rId175" Type="http://schemas.openxmlformats.org/officeDocument/2006/relationships/hyperlink" Target="https://drive.google.com/drive/folders/10C7q6M7ucJS-Dh3nU07Agd0fAUPy9jjb?usp=sharing" TargetMode="External"/><Relationship Id="rId196" Type="http://schemas.openxmlformats.org/officeDocument/2006/relationships/hyperlink" Target="https://drive.google.com/drive/folders/1M5bVKaXRRZAMAeqR7Lc53ZeZGoMDwhmy?usp=sharing" TargetMode="External"/><Relationship Id="rId200" Type="http://schemas.openxmlformats.org/officeDocument/2006/relationships/hyperlink" Target="https://drive.google.com/drive/folders/1iRkqR5NMfv0gcZ4EfYohR5ky7NXBEbOx?usp=sharing" TargetMode="External"/><Relationship Id="rId16" Type="http://schemas.openxmlformats.org/officeDocument/2006/relationships/hyperlink" Target="https://drive.google.com/drive/folders/1vuEdfaUndHHZ7RnSGb127gHiGImCjFqB?usp=sharing" TargetMode="External"/><Relationship Id="rId37" Type="http://schemas.openxmlformats.org/officeDocument/2006/relationships/hyperlink" Target="https://drive.google.com/drive/folders/1uALe8OSs1qNYnzNKvTpT3mYrA9vxqphf?usp=sharing" TargetMode="External"/><Relationship Id="rId58" Type="http://schemas.openxmlformats.org/officeDocument/2006/relationships/hyperlink" Target="https://drive.google.com/drive/folders/1nXdXuf66varVwURzHumEMTdCMKUjCuHL?usp=sharing" TargetMode="External"/><Relationship Id="rId79" Type="http://schemas.openxmlformats.org/officeDocument/2006/relationships/hyperlink" Target="https://drive.google.com/drive/folders/1z3RLwb-6KsjkOmqlyR55VjpX66Xgcxaz?usp=sharing" TargetMode="External"/><Relationship Id="rId102" Type="http://schemas.openxmlformats.org/officeDocument/2006/relationships/hyperlink" Target="https://drive.google.com/drive/folders/1YFyScgdidSVXlcN5LUdlS39fxZBk9FuC?usp=sharing" TargetMode="External"/><Relationship Id="rId123" Type="http://schemas.openxmlformats.org/officeDocument/2006/relationships/hyperlink" Target="https://drive.google.com/drive/folders/18yUHX1zw812nXaV5JQ9GqCm3MtOKlvXc?usp=sharing" TargetMode="External"/><Relationship Id="rId144" Type="http://schemas.openxmlformats.org/officeDocument/2006/relationships/hyperlink" Target="https://drive.google.com/drive/folders/1cxh3h4XNDsvsRf056tDhQKCZayGtCzZz?usp=sharing" TargetMode="External"/><Relationship Id="rId90" Type="http://schemas.openxmlformats.org/officeDocument/2006/relationships/hyperlink" Target="https://drive.google.com/drive/folders/1OErLY1LHw55hfFWbTNssnj1WR5Gj4PbN?usp=sharing" TargetMode="External"/><Relationship Id="rId165" Type="http://schemas.openxmlformats.org/officeDocument/2006/relationships/hyperlink" Target="https://drive.google.com/drive/folders/1Voz1ET8amuSNsjI-u8zarBNK5j4QjXun?usp=sharing" TargetMode="External"/><Relationship Id="rId186" Type="http://schemas.openxmlformats.org/officeDocument/2006/relationships/hyperlink" Target="https://drive.google.com/drive/folders/1cO_9ptZNa7gNeD-sCxnPFuR283WBJecO?usp=sharing" TargetMode="External"/><Relationship Id="rId211" Type="http://schemas.openxmlformats.org/officeDocument/2006/relationships/hyperlink" Target="https://drive.google.com/drive/folders/1p81-FDlxwcv3zoE9DnCaArshxZD88Fjr?usp=sharing" TargetMode="External"/><Relationship Id="rId27" Type="http://schemas.openxmlformats.org/officeDocument/2006/relationships/hyperlink" Target="https://drive.google.com/drive/folders/1gGCYSp7oRN_v8o65-jaDYXM6sz6unm2Z?usp=sharing" TargetMode="External"/><Relationship Id="rId48" Type="http://schemas.openxmlformats.org/officeDocument/2006/relationships/hyperlink" Target="https://drive.google.com/drive/folders/1bLWItWWAo3G5VMja4RN_wM549r1OQ7zB?usp=sharing" TargetMode="External"/><Relationship Id="rId69" Type="http://schemas.openxmlformats.org/officeDocument/2006/relationships/hyperlink" Target="https://drive.google.com/drive/folders/1Zm98i2wBwUgqGrHMC9OZevalGQ4Hptb7?usp=sharing" TargetMode="External"/><Relationship Id="rId113" Type="http://schemas.openxmlformats.org/officeDocument/2006/relationships/hyperlink" Target="https://drive.google.com/drive/folders/11rH-SthpRl4IMRq37Wm4teAmI2TlezSS?usp=sharing" TargetMode="External"/><Relationship Id="rId134" Type="http://schemas.openxmlformats.org/officeDocument/2006/relationships/hyperlink" Target="https://drive.google.com/drive/folders/1prOMMGbcsW8OGpMfZLDrZPkwUzStMcuC?usp=sharing" TargetMode="External"/><Relationship Id="rId80" Type="http://schemas.openxmlformats.org/officeDocument/2006/relationships/hyperlink" Target="https://drive.google.com/drive/folders/1cCAPzL53UGknJ27nbcKzT1raU36YFpZY?usp=sharing" TargetMode="External"/><Relationship Id="rId155" Type="http://schemas.openxmlformats.org/officeDocument/2006/relationships/hyperlink" Target="https://drive.google.com/drive/folders/1KNBqctxwaw7UmF5AWQXomSnlNmWd-N-_?usp=sharing" TargetMode="External"/><Relationship Id="rId176" Type="http://schemas.openxmlformats.org/officeDocument/2006/relationships/hyperlink" Target="https://drive.google.com/drive/folders/1Yw07WFkoLPkmhUgFQHv9vgo0ow9dWyDJ?usp=sharing" TargetMode="External"/><Relationship Id="rId197" Type="http://schemas.openxmlformats.org/officeDocument/2006/relationships/hyperlink" Target="https://drive.google.com/drive/folders/1agvFM1DY96rRHNJgKlR17Ll6-wHF2A4f?usp=sharing" TargetMode="External"/><Relationship Id="rId201" Type="http://schemas.openxmlformats.org/officeDocument/2006/relationships/hyperlink" Target="https://drive.google.com/drive/folders/1Ti74irxn5VTKXKRtlE61Q1zkR6GiMtkn?usp=sharing" TargetMode="External"/><Relationship Id="rId17" Type="http://schemas.openxmlformats.org/officeDocument/2006/relationships/hyperlink" Target="https://drive.google.com/drive/folders/1EZpxEsBK5BtMAWsPzfMhTQetuO6G6PSj?usp=sharing" TargetMode="External"/><Relationship Id="rId38" Type="http://schemas.openxmlformats.org/officeDocument/2006/relationships/hyperlink" Target="https://drive.google.com/drive/folders/18g-c8r3hMcsWeJ8Ih1Wz0qOOR5Nlk87P?usp=sharing" TargetMode="External"/><Relationship Id="rId59" Type="http://schemas.openxmlformats.org/officeDocument/2006/relationships/hyperlink" Target="https://drive.google.com/drive/folders/1MB20Frf38x7zZOLkRJfpKMc8yJtU9Rkp?usp=sharing" TargetMode="External"/><Relationship Id="rId103" Type="http://schemas.openxmlformats.org/officeDocument/2006/relationships/hyperlink" Target="https://drive.google.com/drive/folders/1TRvVQtnkUM-k9KZGVzhuuiIyy8iqtYc4?usp=sharing" TargetMode="External"/><Relationship Id="rId124" Type="http://schemas.openxmlformats.org/officeDocument/2006/relationships/hyperlink" Target="https://drive.google.com/drive/folders/1VOn883euysuC5WTGkrGmpOfWm1DEA0a5?usp=sharing" TargetMode="External"/><Relationship Id="rId70" Type="http://schemas.openxmlformats.org/officeDocument/2006/relationships/hyperlink" Target="https://drive.google.com/drive/folders/1vkzqx_LcxFrfDs5dYAFWfx8cKLPYUWGK?usp=sharing" TargetMode="External"/><Relationship Id="rId91" Type="http://schemas.openxmlformats.org/officeDocument/2006/relationships/hyperlink" Target="https://drive.google.com/drive/folders/1VJzPcpMAe0IFfXmwl90kfjGkG0qribY-?usp=sharing" TargetMode="External"/><Relationship Id="rId145" Type="http://schemas.openxmlformats.org/officeDocument/2006/relationships/hyperlink" Target="https://drive.google.com/drive/folders/1KwEn-okYB520TFj27G1VHbXc3hneTzjI?usp=sharing" TargetMode="External"/><Relationship Id="rId166" Type="http://schemas.openxmlformats.org/officeDocument/2006/relationships/hyperlink" Target="https://drive.google.com/drive/folders/1UB5XXu5vDa8bczVBaaKOQhRglrf70cgm?usp=sharing" TargetMode="External"/><Relationship Id="rId187" Type="http://schemas.openxmlformats.org/officeDocument/2006/relationships/hyperlink" Target="https://drive.google.com/drive/folders/1ezlgTZ1c4zVUOIN2kODJeCmWdNk78ix9?usp=sharing" TargetMode="External"/><Relationship Id="rId1" Type="http://schemas.openxmlformats.org/officeDocument/2006/relationships/hyperlink" Target="https://drive.google.com/drive/folders/1i7QdMQMXxJcHoylJCN-yVcxf3qKS4R4e?usp=sharing" TargetMode="External"/><Relationship Id="rId212" Type="http://schemas.openxmlformats.org/officeDocument/2006/relationships/hyperlink" Target="https://drive.google.com/drive/folders/18TwXFCE8L6bL5UotS7a0ZZBkRZy_MdgL?usp=sharing" TargetMode="External"/><Relationship Id="rId28" Type="http://schemas.openxmlformats.org/officeDocument/2006/relationships/hyperlink" Target="https://drive.google.com/drive/folders/1NKAkwLo3U8RutPQ-hY_S4Q_ax0OUJbVK?usp=sharing" TargetMode="External"/><Relationship Id="rId49" Type="http://schemas.openxmlformats.org/officeDocument/2006/relationships/hyperlink" Target="https://drive.google.com/drive/folders/1OweBKiJ3fhRZHr0RVZ3RUSEjGg-HyfS8?usp=sharing" TargetMode="External"/><Relationship Id="rId114" Type="http://schemas.openxmlformats.org/officeDocument/2006/relationships/hyperlink" Target="https://drive.google.com/drive/folders/15wdTEJqH0e_lLCW_ANtgNCCnIXSFQlSM?usp=sharing" TargetMode="External"/><Relationship Id="rId60" Type="http://schemas.openxmlformats.org/officeDocument/2006/relationships/hyperlink" Target="https://drive.google.com/drive/folders/1C_0uCnR52auv6gr-sRo3vsRo8p9DO36y?usp=sharing" TargetMode="External"/><Relationship Id="rId81" Type="http://schemas.openxmlformats.org/officeDocument/2006/relationships/hyperlink" Target="https://drive.google.com/drive/folders/1QfrfjtvQzgJ9VAqlXN1j-12-r48rLXHT?usp=sharing" TargetMode="External"/><Relationship Id="rId135" Type="http://schemas.openxmlformats.org/officeDocument/2006/relationships/hyperlink" Target="https://drive.google.com/drive/folders/1rm8CupoA7dpYV0D68sfKScJdGzx3F2NB?usp=sharing" TargetMode="External"/><Relationship Id="rId156" Type="http://schemas.openxmlformats.org/officeDocument/2006/relationships/hyperlink" Target="https://drive.google.com/drive/folders/1ZKrq8wV8SO9K_Za7TIIGBYK1yOO5Ihbg?usp=sharing" TargetMode="External"/><Relationship Id="rId177" Type="http://schemas.openxmlformats.org/officeDocument/2006/relationships/hyperlink" Target="https://drive.google.com/drive/folders/1UiCCCN759mQJc6ItSl0WphSApTkHCTOA?usp=sharing" TargetMode="External"/><Relationship Id="rId198" Type="http://schemas.openxmlformats.org/officeDocument/2006/relationships/hyperlink" Target="https://drive.google.com/drive/folders/1KFlKbIOipWmnh1JL03Gcg8nAbYwP8Pvz?usp=sharing" TargetMode="External"/><Relationship Id="rId202" Type="http://schemas.openxmlformats.org/officeDocument/2006/relationships/hyperlink" Target="https://drive.google.com/drive/folders/1TYGh_rzxPkHQUDWgx01UAyUxXuX3QZ8X?usp=sharing" TargetMode="External"/><Relationship Id="rId18" Type="http://schemas.openxmlformats.org/officeDocument/2006/relationships/hyperlink" Target="https://drive.google.com/drive/folders/1PZ-dZ6WkzEZT9FXw1xCT9nFo6qzAa8sd?usp=sharing" TargetMode="External"/><Relationship Id="rId39" Type="http://schemas.openxmlformats.org/officeDocument/2006/relationships/hyperlink" Target="https://drive.google.com/drive/folders/1cL_CtEBy0RB6pvlml9OdbQEVRrxhZS39?usp=sharing" TargetMode="External"/><Relationship Id="rId50" Type="http://schemas.openxmlformats.org/officeDocument/2006/relationships/hyperlink" Target="https://drive.google.com/drive/folders/1OweBKiJ3fhRZHr0RVZ3RUSEjGg-HyfS8?usp=sharing" TargetMode="External"/><Relationship Id="rId104" Type="http://schemas.openxmlformats.org/officeDocument/2006/relationships/hyperlink" Target="https://drive.google.com/drive/folders/1nDZEZAGdFN66kH76HXkH7R9N8QwTi-GX?usp=sharing" TargetMode="External"/><Relationship Id="rId125" Type="http://schemas.openxmlformats.org/officeDocument/2006/relationships/hyperlink" Target="https://drive.google.com/drive/folders/1K62oOJEJcJuAdGxxx-3iWNtNELTQpIzT?usp=sharing" TargetMode="External"/><Relationship Id="rId146" Type="http://schemas.openxmlformats.org/officeDocument/2006/relationships/hyperlink" Target="https://drive.google.com/drive/folders/17vMn7pyLj7ESwq5JomFjhpP5a49TIUmh?usp=sharing" TargetMode="External"/><Relationship Id="rId167" Type="http://schemas.openxmlformats.org/officeDocument/2006/relationships/hyperlink" Target="https://drive.google.com/drive/folders/1UJneOeZdD1MKjf3P2oee-7-rM9a_yPMG?usp=sharing" TargetMode="External"/><Relationship Id="rId188" Type="http://schemas.openxmlformats.org/officeDocument/2006/relationships/hyperlink" Target="https://drive.google.com/drive/folders/14bh07s4serEYzMk3I0r2zBG_BMy9dsY7?usp=sharing" TargetMode="External"/><Relationship Id="rId71" Type="http://schemas.openxmlformats.org/officeDocument/2006/relationships/hyperlink" Target="https://drive.google.com/drive/folders/1thU9lq3vls8YPb5gX680HsLA5N6UK6Y1?usp=sharing" TargetMode="External"/><Relationship Id="rId92" Type="http://schemas.openxmlformats.org/officeDocument/2006/relationships/hyperlink" Target="https://drive.google.com/drive/folders/1neXiNgpjIJ5fEUsUxoicofR8dkPsBa_u?usp=sharing" TargetMode="External"/><Relationship Id="rId213" Type="http://schemas.openxmlformats.org/officeDocument/2006/relationships/hyperlink" Target="https://drive.google.com/drive/folders/1U81DH8qjs5LTm3SaJtDmj13nnBJAx5YT?usp=sharing" TargetMode="External"/><Relationship Id="rId2" Type="http://schemas.openxmlformats.org/officeDocument/2006/relationships/hyperlink" Target="https://drive.google.com/drive/folders/1Sq53UmgZdsE3atpHvgdbdRFSbn4JxAY-?usp=sharing" TargetMode="External"/><Relationship Id="rId29" Type="http://schemas.openxmlformats.org/officeDocument/2006/relationships/hyperlink" Target="https://drive.google.com/drive/folders/1I7My7T-fS4o9hOtwH4VihfwuG2SuyMRR?usp=sharing" TargetMode="External"/><Relationship Id="rId40" Type="http://schemas.openxmlformats.org/officeDocument/2006/relationships/hyperlink" Target="https://drive.google.com/drive/folders/1x5UZEghJa-Tv0ei-y84HqCkOE-hav0bk?usp=sharing" TargetMode="External"/><Relationship Id="rId115" Type="http://schemas.openxmlformats.org/officeDocument/2006/relationships/hyperlink" Target="https://drive.google.com/drive/folders/1nFFGpQUVDYg7DxmczNeIoAIB4yT-Z39p?usp=sharing" TargetMode="External"/><Relationship Id="rId136" Type="http://schemas.openxmlformats.org/officeDocument/2006/relationships/hyperlink" Target="https://drive.google.com/drive/folders/1GKH7K_DLfpLrVfD63ujy4LRwlJDUvTFh?usp=sharing" TargetMode="External"/><Relationship Id="rId157" Type="http://schemas.openxmlformats.org/officeDocument/2006/relationships/hyperlink" Target="https://drive.google.com/drive/folders/1oySzy-Kxec0j-LNwygv0qfWC9ktoujnx?usp=sharing" TargetMode="External"/><Relationship Id="rId178" Type="http://schemas.openxmlformats.org/officeDocument/2006/relationships/hyperlink" Target="https://drive.google.com/drive/folders/14DrAL0KYxQ5AxS81Odbu3Xixkwa3ZUXB?usp=sharing" TargetMode="External"/><Relationship Id="rId61" Type="http://schemas.openxmlformats.org/officeDocument/2006/relationships/hyperlink" Target="https://drive.google.com/drive/folders/1IRap7d5czLDe-LaNt8vm1UblO8XaYgvo?usp=sharing" TargetMode="External"/><Relationship Id="rId82" Type="http://schemas.openxmlformats.org/officeDocument/2006/relationships/hyperlink" Target="https://drive.google.com/drive/folders/1yjfPk63fy68T65JPp1EF513fl5YJZJFb?usp=sharing" TargetMode="External"/><Relationship Id="rId199" Type="http://schemas.openxmlformats.org/officeDocument/2006/relationships/hyperlink" Target="https://drive.google.com/drive/folders/11xBAZrWIa1aZ6K1lCdX01re-tOo-w_8O?usp=sharing" TargetMode="External"/><Relationship Id="rId203" Type="http://schemas.openxmlformats.org/officeDocument/2006/relationships/hyperlink" Target="https://drive.google.com/drive/folders/1jFYEFHYa7kojwV7vwcWJbs9uwu3gYVb9?usp=sharing" TargetMode="External"/><Relationship Id="rId19" Type="http://schemas.openxmlformats.org/officeDocument/2006/relationships/hyperlink" Target="https://drive.google.com/drive/folders/1Vgmlv9fzfFhOuSYKzcUWptb7Qyl19Mwp?usp=sharin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wVeG1aB3HztjEm1kHhxNOhOIb67wMGde/view?usp=drive_link" TargetMode="External"/><Relationship Id="rId21" Type="http://schemas.openxmlformats.org/officeDocument/2006/relationships/hyperlink" Target="https://drive.google.com/drive/folders/1yhMTaTQriJdUFU7yPDjrwKLvI81Ss6AE?usp=sharing" TargetMode="External"/><Relationship Id="rId42" Type="http://schemas.openxmlformats.org/officeDocument/2006/relationships/hyperlink" Target="https://drive.google.com/drive/folders/1tZkSlF-2Pziq09A6Md0GKTHb9DerGt1k?usp=sharing" TargetMode="External"/><Relationship Id="rId63" Type="http://schemas.openxmlformats.org/officeDocument/2006/relationships/hyperlink" Target="https://drive.google.com/file/d/1nNpJRkQh4AsD0HKtarI1cShSrmBl4A3K/view?usp=drive_link" TargetMode="External"/><Relationship Id="rId84" Type="http://schemas.openxmlformats.org/officeDocument/2006/relationships/hyperlink" Target="https://drive.google.com/file/d/1Chj7O3wVfibeDWoMGQ48lO_sqDXCXx0F/view?usp=sharing" TargetMode="External"/><Relationship Id="rId138" Type="http://schemas.openxmlformats.org/officeDocument/2006/relationships/hyperlink" Target="https://drive.google.com/file/d/1fmRgwUaHC1mkrgm4agkEp8Qo4xb4-PqN/view?usp=drive_link" TargetMode="External"/><Relationship Id="rId16" Type="http://schemas.openxmlformats.org/officeDocument/2006/relationships/hyperlink" Target="https://drive.google.com/drive/folders/1Hhr-OPEaQtLQyuWd3KhvPpVrRRzegum9?usp=sharing" TargetMode="External"/><Relationship Id="rId107" Type="http://schemas.openxmlformats.org/officeDocument/2006/relationships/hyperlink" Target="https://drive.google.com/drive/folders/1xGRAZkvP9yQLunxK4JDd_O4MoUS8BsXS?usp=sharing" TargetMode="External"/><Relationship Id="rId11" Type="http://schemas.openxmlformats.org/officeDocument/2006/relationships/hyperlink" Target="https://drive.google.com/drive/folders/1okn5PQejitmt7zDUzRongnwo4d8KnfYX?usp=sharing" TargetMode="External"/><Relationship Id="rId32" Type="http://schemas.openxmlformats.org/officeDocument/2006/relationships/hyperlink" Target="https://drive.google.com/drive/folders/1vEWHfPPKVFb-L2-9VR8QFBjSi78n6Cee?usp=sharing" TargetMode="External"/><Relationship Id="rId37" Type="http://schemas.openxmlformats.org/officeDocument/2006/relationships/hyperlink" Target="https://drive.google.com/drive/folders/1KYbq4EqtrjEnKWeVKeeQBE3wcoYWkcHq?usp=sharing" TargetMode="External"/><Relationship Id="rId53" Type="http://schemas.openxmlformats.org/officeDocument/2006/relationships/hyperlink" Target="https://drive.google.com/file/d/1dG8Hd_M5GscTug_ohFWhjJ-g8EDeSea1/view?usp=drive_link" TargetMode="External"/><Relationship Id="rId58" Type="http://schemas.openxmlformats.org/officeDocument/2006/relationships/hyperlink" Target="https://drive.google.com/file/d/1Z2rwzOGXN8XCQresGyS8L5dqaJaommUK/view?usp=drive_link" TargetMode="External"/><Relationship Id="rId74" Type="http://schemas.openxmlformats.org/officeDocument/2006/relationships/hyperlink" Target="https://drive.google.com/drive/folders/1PgTNCNAHrQ33djdYe-BfX5nZchJVmABE?usp=sharing" TargetMode="External"/><Relationship Id="rId79" Type="http://schemas.openxmlformats.org/officeDocument/2006/relationships/hyperlink" Target="https://drive.google.com/drive/folders/19lDdMzf3QARFd6M-Y8GBQd_iqFY0baUz?usp=sharing" TargetMode="External"/><Relationship Id="rId102" Type="http://schemas.openxmlformats.org/officeDocument/2006/relationships/hyperlink" Target="https://drive.google.com/drive/folders/15v6A0PUMY8daTJXa0lWawElBOA9S8lr4?usp=sharing" TargetMode="External"/><Relationship Id="rId123" Type="http://schemas.openxmlformats.org/officeDocument/2006/relationships/hyperlink" Target="https://drive.google.com/file/d/1vm2RWnIVgPAa1aB4JO6gNHwouKTXI7zm/view?usp=drive_link" TargetMode="External"/><Relationship Id="rId128" Type="http://schemas.openxmlformats.org/officeDocument/2006/relationships/hyperlink" Target="https://drive.google.com/file/d/1XEHc5njBqmKEiNCKoFMDvhwEJ_ZK_Wfo/view?usp=drive_link" TargetMode="External"/><Relationship Id="rId5" Type="http://schemas.openxmlformats.org/officeDocument/2006/relationships/hyperlink" Target="https://drive.google.com/drive/folders/1AsSL1wMjbB3uehhWwzYYzf-SxjW9qTXF?usp=sharing" TargetMode="External"/><Relationship Id="rId90" Type="http://schemas.openxmlformats.org/officeDocument/2006/relationships/hyperlink" Target="https://drive.google.com/file/d/1Kehe-PqsCqOv1Ii061uJprI-uyFfGLMj/view?usp=sharing" TargetMode="External"/><Relationship Id="rId95" Type="http://schemas.openxmlformats.org/officeDocument/2006/relationships/hyperlink" Target="https://drive.google.com/file/d/194PsFhXERFAlMTB1IvmPXMeej2MqJPFG/view?usp=sharing" TargetMode="External"/><Relationship Id="rId22" Type="http://schemas.openxmlformats.org/officeDocument/2006/relationships/hyperlink" Target="https://drive.google.com/drive/folders/1yhMTaTQriJdUFU7yPDjrwKLvI81Ss6AE?usp=sharing" TargetMode="External"/><Relationship Id="rId27" Type="http://schemas.openxmlformats.org/officeDocument/2006/relationships/hyperlink" Target="https://drive.google.com/drive/folders/1CqzRmL8FjkQZnELVI1iLHBZk5tVkYd-l?usp=sharing" TargetMode="External"/><Relationship Id="rId43" Type="http://schemas.openxmlformats.org/officeDocument/2006/relationships/hyperlink" Target="https://drive.google.com/drive/folders/1AsWFIbufVKJF89qpTNk5r2Q-WYBOzk-G?usp=sharing" TargetMode="External"/><Relationship Id="rId48" Type="http://schemas.openxmlformats.org/officeDocument/2006/relationships/hyperlink" Target="https://drive.google.com/drive/folders/1vwToAzLzxISkwwwE61JHQlAv7-nbFlgY?usp=sharing" TargetMode="External"/><Relationship Id="rId64" Type="http://schemas.openxmlformats.org/officeDocument/2006/relationships/hyperlink" Target="https://drive.google.com/file/d/1Degq2w3r5X_wkvEYHTquCFH0q4OkxG52/view?usp=drive_link" TargetMode="External"/><Relationship Id="rId69" Type="http://schemas.openxmlformats.org/officeDocument/2006/relationships/hyperlink" Target="https://drive.google.com/drive/folders/1hFhBodljg94INveN8gzHZLKTeRycMtoj?usp=sharing" TargetMode="External"/><Relationship Id="rId113" Type="http://schemas.openxmlformats.org/officeDocument/2006/relationships/hyperlink" Target="https://drive.google.com/file/d/1c4DCxIoWcWjc1Nz8Yw4Q_2jBdC3ONL6F/view?usp=drive_link" TargetMode="External"/><Relationship Id="rId118" Type="http://schemas.openxmlformats.org/officeDocument/2006/relationships/hyperlink" Target="https://drive.google.com/file/d/13yQ6rB69KIovqLIuUJKWrjSvaZVKEFl-/view?usp=drive_link" TargetMode="External"/><Relationship Id="rId134" Type="http://schemas.openxmlformats.org/officeDocument/2006/relationships/hyperlink" Target="https://drive.google.com/file/d/11x27tOCsjUBsj4KaoEdpmLHDgaqvNZv-/view?usp=drive_link" TargetMode="External"/><Relationship Id="rId80" Type="http://schemas.openxmlformats.org/officeDocument/2006/relationships/hyperlink" Target="https://drive.google.com/drive/folders/1hk9Wrb5E1Zp1gHp-bc-McdAKU5oyHcjc?usp=sharing" TargetMode="External"/><Relationship Id="rId85" Type="http://schemas.openxmlformats.org/officeDocument/2006/relationships/hyperlink" Target="https://drive.google.com/file/d/1jh7imcTGBLIEVrcOEYPWWecJBjTVowwN/view?usp=sharing" TargetMode="External"/><Relationship Id="rId12" Type="http://schemas.openxmlformats.org/officeDocument/2006/relationships/hyperlink" Target="https://drive.google.com/drive/folders/11isQM2FXIYjqiCFc7X3fURANJvmo0ouJ?usp=sharing" TargetMode="External"/><Relationship Id="rId17" Type="http://schemas.openxmlformats.org/officeDocument/2006/relationships/hyperlink" Target="https://drive.google.com/drive/folders/1d_75eWS4w30Y0m4ooY9mrhwDkUq2qZTj?usp=sharing" TargetMode="External"/><Relationship Id="rId33" Type="http://schemas.openxmlformats.org/officeDocument/2006/relationships/hyperlink" Target="https://drive.google.com/drive/folders/11l-23zLvbXeA5UT_xP_4gaF1k4NZzyrK?usp=sharing" TargetMode="External"/><Relationship Id="rId38" Type="http://schemas.openxmlformats.org/officeDocument/2006/relationships/hyperlink" Target="https://drive.google.com/drive/folders/1ndxbzrtRWgEm2pe224mroXcFCzZqpdww?usp=sharing" TargetMode="External"/><Relationship Id="rId59" Type="http://schemas.openxmlformats.org/officeDocument/2006/relationships/hyperlink" Target="https://drive.google.com/file/d/1tjKRxZZ08a1wimJ12C5OrYdHRgXIWWCG/view?usp=drive_link" TargetMode="External"/><Relationship Id="rId103" Type="http://schemas.openxmlformats.org/officeDocument/2006/relationships/hyperlink" Target="https://drive.google.com/drive/folders/1QykT9Jyq7mLu20XAufjxYYUP2aZBjZfe?usp=sharing" TargetMode="External"/><Relationship Id="rId108" Type="http://schemas.openxmlformats.org/officeDocument/2006/relationships/hyperlink" Target="https://drive.google.com/drive/folders/1qhZ6p_Xj4bFhspGORVqKYpMUwycjEom9?usp=sharinghttps://drive.google.com/drive/folders/1wC7aI7chz0sdff26vn7fywhevF6goKua?usp=sharing" TargetMode="External"/><Relationship Id="rId124" Type="http://schemas.openxmlformats.org/officeDocument/2006/relationships/hyperlink" Target="https://drive.google.com/file/d/1GEO0Wc2ez_rf3eeu3clwO-AFs5zB6QHo/view?usp=drive_link" TargetMode="External"/><Relationship Id="rId129" Type="http://schemas.openxmlformats.org/officeDocument/2006/relationships/hyperlink" Target="https://drive.google.com/file/d/1mzDhP1oHXD4l6pxOJHIcgrSMf4a1_6N5/view?usp=drive_link" TargetMode="External"/><Relationship Id="rId54" Type="http://schemas.openxmlformats.org/officeDocument/2006/relationships/hyperlink" Target="https://drive.google.com/file/d/1O5gbuPVjJAyyrau8L2SVaFTawU4whusU/view?usp=drive_link" TargetMode="External"/><Relationship Id="rId70" Type="http://schemas.openxmlformats.org/officeDocument/2006/relationships/hyperlink" Target="https://drive.google.com/drive/folders/1nNSQT6bBT3ynq14hzqQsEslIiCihIzJc?usp=sharing" TargetMode="External"/><Relationship Id="rId75" Type="http://schemas.openxmlformats.org/officeDocument/2006/relationships/hyperlink" Target="https://drive.google.com/drive/folders/1RjDWiajNs0AaUHnYPLC_NwrFtI8FsJDR?usp=sharing" TargetMode="External"/><Relationship Id="rId91" Type="http://schemas.openxmlformats.org/officeDocument/2006/relationships/hyperlink" Target="https://drive.google.com/file/d/1v1yh0rMBb1NmImxxpo19wI-H8yVx47qJ/view?usp=sharing" TargetMode="External"/><Relationship Id="rId96" Type="http://schemas.openxmlformats.org/officeDocument/2006/relationships/hyperlink" Target="https://drive.google.com/file/d/1HQdo8871KR9gUlx7pKB_dyORWKZLQTl2/view?usp=sharing" TargetMode="External"/><Relationship Id="rId1" Type="http://schemas.openxmlformats.org/officeDocument/2006/relationships/hyperlink" Target="https://drive.google.com/drive/folders/10RlAFfwYnenEsFzFpJGRMyg5jQrhFRdQ?usp=sharing" TargetMode="External"/><Relationship Id="rId6" Type="http://schemas.openxmlformats.org/officeDocument/2006/relationships/hyperlink" Target="https://drive.google.com/drive/folders/17xgTxLHXg6i4CPSfgux8u3vbUbI7zAU7?usp=sharing" TargetMode="External"/><Relationship Id="rId23" Type="http://schemas.openxmlformats.org/officeDocument/2006/relationships/hyperlink" Target="https://drive.google.com/drive/folders/1XOuiBACBi8BwyTeRKAQCrBiDC4hB5bjZ?usp=sharing" TargetMode="External"/><Relationship Id="rId28" Type="http://schemas.openxmlformats.org/officeDocument/2006/relationships/hyperlink" Target="https://drive.google.com/drive/folders/11isQM2FXIYjqiCFc7X3fURANJvmo0ouJ?usp=sharing" TargetMode="External"/><Relationship Id="rId49" Type="http://schemas.openxmlformats.org/officeDocument/2006/relationships/hyperlink" Target="https://drive.google.com/drive/folders/149bjnyNozcFh-5e2YheGXPMWLIM59p5r?usp=sharing" TargetMode="External"/><Relationship Id="rId114" Type="http://schemas.openxmlformats.org/officeDocument/2006/relationships/hyperlink" Target="https://drive.google.com/file/d/1C9LoVaGCK3ATybYcn6dy6wIfEyuVTzCb/view?usp=drive_link" TargetMode="External"/><Relationship Id="rId119" Type="http://schemas.openxmlformats.org/officeDocument/2006/relationships/hyperlink" Target="https://drive.google.com/file/d/1QJdp0kvT--1MtFsw2wgOGVDts33DNel0/view?usp=drive_link" TargetMode="External"/><Relationship Id="rId44" Type="http://schemas.openxmlformats.org/officeDocument/2006/relationships/hyperlink" Target="https://drive.google.com/drive/folders/1eyDg2w-bTDQqHOQfGWHrOTu-bhd3bdX8?usp=sharing" TargetMode="External"/><Relationship Id="rId60" Type="http://schemas.openxmlformats.org/officeDocument/2006/relationships/hyperlink" Target="https://drive.google.com/file/d/1E0i_dp5cc7JOzMSe0jxkoxxxn8VQc5mb/view?usp=drive_link" TargetMode="External"/><Relationship Id="rId65" Type="http://schemas.openxmlformats.org/officeDocument/2006/relationships/hyperlink" Target="https://drive.google.com/file/d/1uZLZbVS3fdnvyD2KZ0kLWpDs2MkIfLho/view?usp=drive_linkhttps://drive.google.com/file/d/1uZLZbVS3fdnvyD2KZ0kLWpDs2MkIfLho/view?usp=drive_link" TargetMode="External"/><Relationship Id="rId81" Type="http://schemas.openxmlformats.org/officeDocument/2006/relationships/hyperlink" Target="https://drive.google.com/drive/folders/1MHHlHjDGFGEXx3o_LXIEzpK2lmZvKDGs?usp=sharing" TargetMode="External"/><Relationship Id="rId86" Type="http://schemas.openxmlformats.org/officeDocument/2006/relationships/hyperlink" Target="https://drive.google.com/file/d/1t-YUMjteFjbdiBdogRvbhzKTQl9CQbQx/view?usp=sharing" TargetMode="External"/><Relationship Id="rId130" Type="http://schemas.openxmlformats.org/officeDocument/2006/relationships/hyperlink" Target="https://drive.google.com/file/d/1BvnO798v5qj0qD1mXFMXEbrZqBj-4V7n/view?usp=drive_link" TargetMode="External"/><Relationship Id="rId135" Type="http://schemas.openxmlformats.org/officeDocument/2006/relationships/hyperlink" Target="https://drive.google.com/file/d/1RLa90NZEW_QpuOgaRC14JtjXrx_ULRcC/view?usp=drive_link" TargetMode="External"/><Relationship Id="rId13" Type="http://schemas.openxmlformats.org/officeDocument/2006/relationships/hyperlink" Target="https://drive.google.com/drive/folders/1okn5PQejitmt7zDUzRongnwo4d8KnfYX?usp=sharing" TargetMode="External"/><Relationship Id="rId18" Type="http://schemas.openxmlformats.org/officeDocument/2006/relationships/hyperlink" Target="https://drive.google.com/drive/folders/1NnKvlPeiIya5BG812hArGo6Nuk-07h2T?usp=sharing" TargetMode="External"/><Relationship Id="rId39" Type="http://schemas.openxmlformats.org/officeDocument/2006/relationships/hyperlink" Target="https://drive.google.com/drive/folders/1Ly8MDKuqNbsGb0Yb-eLS_kUNCwk9yD95?usp=sharing" TargetMode="External"/><Relationship Id="rId109" Type="http://schemas.openxmlformats.org/officeDocument/2006/relationships/hyperlink" Target="https://drive.google.com/drive/folders/1wC7aI7chz0sdff26vn7fywhevF6goKua?usp=sharing" TargetMode="External"/><Relationship Id="rId34" Type="http://schemas.openxmlformats.org/officeDocument/2006/relationships/hyperlink" Target="https://drive.google.com/drive/folders/1L3xIwleBhLkgD0roy8MGnwGbxpuTv342?usp=sharing" TargetMode="External"/><Relationship Id="rId50" Type="http://schemas.openxmlformats.org/officeDocument/2006/relationships/hyperlink" Target="https://drive.google.com/file/d/1Hpqd5Yb6Onnh8-DH9jEDomLO1tQCuA2j/view?usp=drive_link" TargetMode="External"/><Relationship Id="rId55" Type="http://schemas.openxmlformats.org/officeDocument/2006/relationships/hyperlink" Target="https://drive.google.com/file/d/1XUsPySuyHND-m8CuccLynBDiyiw7N0ss/view?usp=drive_link" TargetMode="External"/><Relationship Id="rId76" Type="http://schemas.openxmlformats.org/officeDocument/2006/relationships/hyperlink" Target="https://drive.google.com/drive/folders/1iqKkffRdpO2ybTNGQwzcGkEeVoeuObho?usp=sharing" TargetMode="External"/><Relationship Id="rId97" Type="http://schemas.openxmlformats.org/officeDocument/2006/relationships/hyperlink" Target="https://drive.google.com/file/d/17fkHwUFRIWV22-e-VZq9oxfaJHgrZkV4/view?usp=sharing" TargetMode="External"/><Relationship Id="rId104" Type="http://schemas.openxmlformats.org/officeDocument/2006/relationships/hyperlink" Target="https://drive.google.com/drive/folders/1evOR_1-AOcfOqFcNOSPSGZ58blYo0fnI?usp=sharing" TargetMode="External"/><Relationship Id="rId120" Type="http://schemas.openxmlformats.org/officeDocument/2006/relationships/hyperlink" Target="https://drive.google.com/file/d/1Xr2RYh-aHBmaFqtiSj4N3FloGVxawY-O/view?usp=drive_link" TargetMode="External"/><Relationship Id="rId125" Type="http://schemas.openxmlformats.org/officeDocument/2006/relationships/hyperlink" Target="https://drive.google.com/file/d/1LGwD2-BAxu7q0OGtnifyCsC4iICGUfBz/view?usp=drive_link" TargetMode="External"/><Relationship Id="rId7" Type="http://schemas.openxmlformats.org/officeDocument/2006/relationships/hyperlink" Target="https://drive.google.com/drive/folders/1hFJil7NFuL2WnIdNabQJIY68YLn7ByXF?usp=sharing" TargetMode="External"/><Relationship Id="rId71" Type="http://schemas.openxmlformats.org/officeDocument/2006/relationships/hyperlink" Target="https://drive.google.com/drive/folders/1UyK9iEjeb7nXwaE1IVDs_ivVLPlLQ1SF?usp=sharing" TargetMode="External"/><Relationship Id="rId92" Type="http://schemas.openxmlformats.org/officeDocument/2006/relationships/hyperlink" Target="https://drive.google.com/file/d/1wydMS48FR0Wmj3TMeEPhREPlKTut538j/view?usp=sharing" TargetMode="External"/><Relationship Id="rId2" Type="http://schemas.openxmlformats.org/officeDocument/2006/relationships/hyperlink" Target="https://drive.google.com/drive/folders/1bqm-meRzsVTTjG_hhvge7ytXi92kCBd0?usp=sharing" TargetMode="External"/><Relationship Id="rId29" Type="http://schemas.openxmlformats.org/officeDocument/2006/relationships/hyperlink" Target="https://drive.google.com/drive/folders/1wCH6N2etwGQJW5FrA9boFT2E40SuDOLG?usp=sharing" TargetMode="External"/><Relationship Id="rId24" Type="http://schemas.openxmlformats.org/officeDocument/2006/relationships/hyperlink" Target="https://drive.google.com/drive/folders/18f5h6Q8sOQDR7nabuhG-9jqFEQqeZAUH?usp=sharing" TargetMode="External"/><Relationship Id="rId40" Type="http://schemas.openxmlformats.org/officeDocument/2006/relationships/hyperlink" Target="https://drive.google.com/drive/folders/1CI8r4DoEDFggoJEGiLjM3iud1PXucGhI?usp=sharing" TargetMode="External"/><Relationship Id="rId45" Type="http://schemas.openxmlformats.org/officeDocument/2006/relationships/hyperlink" Target="https://drive.google.com/drive/folders/1yshq_N6gQffhaiMJ0xk_fOCOh0gCSXec?usp=sharing" TargetMode="External"/><Relationship Id="rId66" Type="http://schemas.openxmlformats.org/officeDocument/2006/relationships/hyperlink" Target="https://drive.google.com/file/d/1C_Ua3RKqXBrVy_5vTRArga299lwA_Low/view?usp=drive_link" TargetMode="External"/><Relationship Id="rId87" Type="http://schemas.openxmlformats.org/officeDocument/2006/relationships/hyperlink" Target="https://drive.google.com/file/d/1t5ngyeQEJtY_3hQsmhPK-jypKWBCxWJy/view?usp=sharing" TargetMode="External"/><Relationship Id="rId110" Type="http://schemas.openxmlformats.org/officeDocument/2006/relationships/hyperlink" Target="https://drive.google.com/drive/folders/1uVGzryscuEea4ZkMaJ-Lv9dTphDqHVaF?usp=sharing" TargetMode="External"/><Relationship Id="rId115" Type="http://schemas.openxmlformats.org/officeDocument/2006/relationships/hyperlink" Target="https://drive.google.com/file/d/1sFJ1Jatpn1wWnMbQQ8IhlwbDT63OKQ8y/view?usp=drive_link" TargetMode="External"/><Relationship Id="rId131" Type="http://schemas.openxmlformats.org/officeDocument/2006/relationships/hyperlink" Target="https://drive.google.com/file/d/1agYE2RhRCS2m3VyxpptayoLsaO7Ld9cm/view?usp=drive_link" TargetMode="External"/><Relationship Id="rId136" Type="http://schemas.openxmlformats.org/officeDocument/2006/relationships/hyperlink" Target="https://drive.google.com/drive/folders/1Kf1mQ5Btn9zG0KVM189n9Yw8NzqQA-ky?usp=drive_link" TargetMode="External"/><Relationship Id="rId61" Type="http://schemas.openxmlformats.org/officeDocument/2006/relationships/hyperlink" Target="https://drive.google.com/file/d/1xEj3v_MfCYx9XDtf_fKi9bhJH5wB_Wez/view?usp=drive_link" TargetMode="External"/><Relationship Id="rId82" Type="http://schemas.openxmlformats.org/officeDocument/2006/relationships/hyperlink" Target="https://drive.google.com/drive/folders/1nHreKWoN7W6Jp0G8dgu3YctLKRCBext5?usp=sharing" TargetMode="External"/><Relationship Id="rId19" Type="http://schemas.openxmlformats.org/officeDocument/2006/relationships/hyperlink" Target="https://drive.google.com/drive/folders/1LRH0yNpbMEsCBfxzp-MVHYaW8DgCczlo?usp=sharing" TargetMode="External"/><Relationship Id="rId14" Type="http://schemas.openxmlformats.org/officeDocument/2006/relationships/hyperlink" Target="https://drive.google.com/drive/folders/1dGwdIVzJC4F96R5JsP2BKGQLfAvDz1eh?usp=sharing" TargetMode="External"/><Relationship Id="rId30" Type="http://schemas.openxmlformats.org/officeDocument/2006/relationships/hyperlink" Target="https://drive.google.com/drive/folders/1dGwdIVzJC4F96R5JsP2BKGQLfAvDz1eh?usp=sharing" TargetMode="External"/><Relationship Id="rId35" Type="http://schemas.openxmlformats.org/officeDocument/2006/relationships/hyperlink" Target="https://drive.google.com/drive/folders/1316kRs9TbOXThjZovYRii7QCjK5HrPDW?usp=sharing" TargetMode="External"/><Relationship Id="rId56" Type="http://schemas.openxmlformats.org/officeDocument/2006/relationships/hyperlink" Target="https://drive.google.com/file/d/1NfBY2OeRJOn_f_9QytR9dU14bkYfTAEV/view?usp=drive_link" TargetMode="External"/><Relationship Id="rId77" Type="http://schemas.openxmlformats.org/officeDocument/2006/relationships/hyperlink" Target="https://drive.google.com/drive/folders/1qZvTscBWee852nbOSJvDcwIlSee_9ok5?usp=sharing" TargetMode="External"/><Relationship Id="rId100" Type="http://schemas.openxmlformats.org/officeDocument/2006/relationships/hyperlink" Target="https://drive.google.com/drive/folders/1A4OWGCNsR9dd5vLH-rfILL4crWyx2agw?usp=sharing" TargetMode="External"/><Relationship Id="rId105" Type="http://schemas.openxmlformats.org/officeDocument/2006/relationships/hyperlink" Target="https://drive.google.com/drive/folders/1YS8JCVX1xJOKTUejPSybctpRFvfoQedM?usp=sharing" TargetMode="External"/><Relationship Id="rId126" Type="http://schemas.openxmlformats.org/officeDocument/2006/relationships/hyperlink" Target="https://drive.google.com/file/d/1_Nrv0BmEpxYbCaO4XhDghAnCo0QGgeMG/view?usp=drive_link" TargetMode="External"/><Relationship Id="rId8" Type="http://schemas.openxmlformats.org/officeDocument/2006/relationships/hyperlink" Target="https://drive.google.com/drive/folders/18f5h6Q8sOQDR7nabuhG-9jqFEQqeZAUH?usp=sharing" TargetMode="External"/><Relationship Id="rId51" Type="http://schemas.openxmlformats.org/officeDocument/2006/relationships/hyperlink" Target="https://drive.google.com/file/d/1R67FaTEABjvPmdurEneV8FjlASizp9ry/view?usp=drive_link" TargetMode="External"/><Relationship Id="rId72" Type="http://schemas.openxmlformats.org/officeDocument/2006/relationships/hyperlink" Target="https://drive.google.com/drive/folders/1FQ40R8jQtyOJyqSyO5gpgAEb0ZlTYtGk?usp=sharing" TargetMode="External"/><Relationship Id="rId93" Type="http://schemas.openxmlformats.org/officeDocument/2006/relationships/hyperlink" Target="https://drive.google.com/file/d/1_73kEzeKETjQSUNJscZ4IfbEiE9v_ZBI/view?usp=sharing" TargetMode="External"/><Relationship Id="rId98" Type="http://schemas.openxmlformats.org/officeDocument/2006/relationships/hyperlink" Target="https://drive.google.com/file/d/1Uu0n14NFdwgDNcVzBdOYXu1EEoTbMmxt/view?usp=sharing" TargetMode="External"/><Relationship Id="rId121" Type="http://schemas.openxmlformats.org/officeDocument/2006/relationships/hyperlink" Target="https://drive.google.com/file/d/1H-hPH5bJpJPVz_2HHLnbjO9VeLq4VJwJ/view?usp=drive_link" TargetMode="External"/><Relationship Id="rId3" Type="http://schemas.openxmlformats.org/officeDocument/2006/relationships/hyperlink" Target="https://drive.google.com/drive/folders/1hV6d3O1JyP2AyFF7JU3xUbwOrAq4HVog?usp=sharing" TargetMode="External"/><Relationship Id="rId25" Type="http://schemas.openxmlformats.org/officeDocument/2006/relationships/hyperlink" Target="https://drive.google.com/drive/folders/11FXRdCx5HnX-H9Wt8460tyeW-YyRWn9C?usp=sharing" TargetMode="External"/><Relationship Id="rId46" Type="http://schemas.openxmlformats.org/officeDocument/2006/relationships/hyperlink" Target="https://drive.google.com/drive/folders/1Zch39L864gSVJf8cV0s19rGYq_T6FkKk?usp=sharing" TargetMode="External"/><Relationship Id="rId67" Type="http://schemas.openxmlformats.org/officeDocument/2006/relationships/hyperlink" Target="https://drive.google.com/drive/folders/1_GK9q0B6mkNQjgt2UfVejTSTUZp6Icvd?usp=sharing" TargetMode="External"/><Relationship Id="rId116" Type="http://schemas.openxmlformats.org/officeDocument/2006/relationships/hyperlink" Target="https://drive.google.com/file/d/1P6L0g1ToirKu7gQEdDFxU6nGAI_0aQM8/view?usp=drive_link" TargetMode="External"/><Relationship Id="rId137" Type="http://schemas.openxmlformats.org/officeDocument/2006/relationships/hyperlink" Target="https://drive.google.com/file/d/1Wuqo-AE8txhttps:/drive.google.com/file/d/1uK9JqZwVFbRSLu-VubL5Hmb3lGeJWv6l/view?usp=drive_linkLBP4s_UO1uj5HonZOUPKnA/view?usp=drive_link" TargetMode="External"/><Relationship Id="rId20" Type="http://schemas.openxmlformats.org/officeDocument/2006/relationships/hyperlink" Target="https://drive.google.com/drive/folders/18VzRqId9mCGxBGTI2Dy4cpmFmpHh0o1b?usp=sharing" TargetMode="External"/><Relationship Id="rId41" Type="http://schemas.openxmlformats.org/officeDocument/2006/relationships/hyperlink" Target="https://drive.google.com/drive/folders/1xwWHZRDzzPZdPJ9Zikc-qH1YNyTs0c8x?usp=sharing" TargetMode="External"/><Relationship Id="rId62" Type="http://schemas.openxmlformats.org/officeDocument/2006/relationships/hyperlink" Target="https://drive.google.com/file/d/1vadJMk8QvlCtwFgOOSg04Nz4KXj40Qsc/view?usp=drive_link" TargetMode="External"/><Relationship Id="rId83" Type="http://schemas.openxmlformats.org/officeDocument/2006/relationships/hyperlink" Target="https://drive.google.com/drive/folders/19lDdMzf3QARFd6M-Y8GBQd_iqFY0baUz?usp=sharing" TargetMode="External"/><Relationship Id="rId88" Type="http://schemas.openxmlformats.org/officeDocument/2006/relationships/hyperlink" Target="https://drive.google.com/file/d/1R_x22fnBZiFrlkEEOhbGKKoVxeuYS1KL/view?usp=sharing" TargetMode="External"/><Relationship Id="rId111" Type="http://schemas.openxmlformats.org/officeDocument/2006/relationships/hyperlink" Target="https://drive.google.com/file/d/1irvSaw45YUCLcHUF5J0AyLADK9G9_gf5/view?usp=drive_link" TargetMode="External"/><Relationship Id="rId132" Type="http://schemas.openxmlformats.org/officeDocument/2006/relationships/hyperlink" Target="https://drive.google.com/file/d/1XEHc5njBqmKEiNCKoFMDvhwEJ_ZK_Wfo/view?usp=drive_link" TargetMode="External"/><Relationship Id="rId15" Type="http://schemas.openxmlformats.org/officeDocument/2006/relationships/hyperlink" Target="https://drive.google.com/drive/folders/1Hhr-OPEaQtLQyuWd3KhvPpVrRRzegum9?usp=sharing" TargetMode="External"/><Relationship Id="rId36" Type="http://schemas.openxmlformats.org/officeDocument/2006/relationships/hyperlink" Target="https://drive.google.com/drive/folders/1OsuB3JWxEBCgMv-kBDOXLoI6bmRwT7aM?usp=sharing" TargetMode="External"/><Relationship Id="rId57" Type="http://schemas.openxmlformats.org/officeDocument/2006/relationships/hyperlink" Target="https://drive.google.com/file/d/1HVGoFt41wx9_WtcF_vTscDfeMLAixAH0/view?usp=drive_link" TargetMode="External"/><Relationship Id="rId106" Type="http://schemas.openxmlformats.org/officeDocument/2006/relationships/hyperlink" Target="https://drive.google.com/drive/folders/1gCICDO4wLC5DNDrrRIiz41SgOGRzns8O?usp=sharing" TargetMode="External"/><Relationship Id="rId127" Type="http://schemas.openxmlformats.org/officeDocument/2006/relationships/hyperlink" Target="https://drive.google.com/file/d/1qLG81PflViBAkMFN_chL3K1J0PQB7KuH/view?usp=drive_link" TargetMode="External"/><Relationship Id="rId10" Type="http://schemas.openxmlformats.org/officeDocument/2006/relationships/hyperlink" Target="https://drive.google.com/drive/folders/1PTABGdIinGF_tVAHLuwRUO9g4sl039DV?usp=sharing" TargetMode="External"/><Relationship Id="rId31" Type="http://schemas.openxmlformats.org/officeDocument/2006/relationships/hyperlink" Target="https://drive.google.com/drive/folders/1Hhr-OPEaQtLQyuWd3KhvPpVrRRzegum9?usp=sharing" TargetMode="External"/><Relationship Id="rId52" Type="http://schemas.openxmlformats.org/officeDocument/2006/relationships/hyperlink" Target="https://drive.google.com/file/d/1XAqQc0KAcPLpkRwT38ITg6m2cNATqi7h/view?usp=drive_link" TargetMode="External"/><Relationship Id="rId73" Type="http://schemas.openxmlformats.org/officeDocument/2006/relationships/hyperlink" Target="https://drive.google.com/drive/folders/11y4asUs-prxqZr2z9Xw10Hps0-S6v-Hk?usp=sharing" TargetMode="External"/><Relationship Id="rId78" Type="http://schemas.openxmlformats.org/officeDocument/2006/relationships/hyperlink" Target="https://drive.google.com/drive/folders/1yqnvDl1MyATHXtfkmQOzoyFfpX3Ps4dc?usp=sharing" TargetMode="External"/><Relationship Id="rId94" Type="http://schemas.openxmlformats.org/officeDocument/2006/relationships/hyperlink" Target="https://drive.google.com/file/d/1poIqMCJ8m-xxoYx7SsENLofaJHkk4r9I/view?usp=sharing" TargetMode="External"/><Relationship Id="rId99" Type="http://schemas.openxmlformats.org/officeDocument/2006/relationships/hyperlink" Target="https://drive.google.com/file/d/1w-sATADnB2JKdbFvhmXJRQZuWfRCtqT7/view?usp=sharing" TargetMode="External"/><Relationship Id="rId101" Type="http://schemas.openxmlformats.org/officeDocument/2006/relationships/hyperlink" Target="https://drive.google.com/drive/folders/1pAByOLL5U3FQtIFtYV5F6qr8v0pqocpe?usp=sharing" TargetMode="External"/><Relationship Id="rId122" Type="http://schemas.openxmlformats.org/officeDocument/2006/relationships/hyperlink" Target="https://drive.google.com/file/d/1gJtEO-LONWX7soG4YcNVyr8DldNDLUk_/view?usp=drive_link" TargetMode="External"/><Relationship Id="rId4" Type="http://schemas.openxmlformats.org/officeDocument/2006/relationships/hyperlink" Target="https://drive.google.com/drive/folders/18VzRqId9mCGxBGTI2Dy4cpmFmpHh0o1b?usp=sharing" TargetMode="External"/><Relationship Id="rId9" Type="http://schemas.openxmlformats.org/officeDocument/2006/relationships/hyperlink" Target="https://drive.google.com/drive/folders/11FXRdCx5HnX-H9Wt8460tyeW-YyRWn9C?usp=sharing" TargetMode="External"/><Relationship Id="rId26" Type="http://schemas.openxmlformats.org/officeDocument/2006/relationships/hyperlink" Target="https://drive.google.com/drive/folders/1CqzRmL8FjkQZnELVI1iLHBZk5tVkYd-l?usp=sharing" TargetMode="External"/><Relationship Id="rId47" Type="http://schemas.openxmlformats.org/officeDocument/2006/relationships/hyperlink" Target="https://drive.google.com/drive/folders/16heYDIP-wuLc8iyFYYCiFiT6DRhdrSlU?usp=sharing" TargetMode="External"/><Relationship Id="rId68" Type="http://schemas.openxmlformats.org/officeDocument/2006/relationships/hyperlink" Target="https://drive.google.com/drive/folders/1-ij7X64FV6sUirNhy-lCfzWiU93dA6oc?usp=sharing" TargetMode="External"/><Relationship Id="rId89" Type="http://schemas.openxmlformats.org/officeDocument/2006/relationships/hyperlink" Target="https://drive.google.com/file/d/12lTXaBavqKTLVKf0QVQnXWUZ6Ps7zd_M/view?usp=sharing" TargetMode="External"/><Relationship Id="rId112" Type="http://schemas.openxmlformats.org/officeDocument/2006/relationships/hyperlink" Target="https://drive.google.com/file/d/1PkHxgQ2B5DPEquv_X30Nc2Rs2R0VZFhh/view?usp=drive_link" TargetMode="External"/><Relationship Id="rId133" Type="http://schemas.openxmlformats.org/officeDocument/2006/relationships/hyperlink" Target="https://drive.google.com/file/d/1-w53kHK62VT3R4cT-WxSSBfTUQYGvTnF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wXKtGrN50ngcsSJm8nJyTwIlW0HV9Hmc" TargetMode="External"/><Relationship Id="rId18" Type="http://schemas.openxmlformats.org/officeDocument/2006/relationships/hyperlink" Target="https://drive.google.com/drive/folders/1IMS9utldTw_EXUTbJiLC7mQb3JMHf3Ff?usp=sharing" TargetMode="External"/><Relationship Id="rId26" Type="http://schemas.openxmlformats.org/officeDocument/2006/relationships/hyperlink" Target="https://drive.google.com/drive/folders/1JqqDQZRX3iG230ErM6bGPkVB4p9DJj3Z?usp=sharing" TargetMode="External"/><Relationship Id="rId39" Type="http://schemas.openxmlformats.org/officeDocument/2006/relationships/hyperlink" Target="https://drive.google.com/drive/folders/1u_07lDpARni1orHkFIk6FQtBZGLnfQlR?usp=sharing" TargetMode="External"/><Relationship Id="rId21" Type="http://schemas.openxmlformats.org/officeDocument/2006/relationships/hyperlink" Target="https://drive.google.com/drive/folders/1LNsIN8UGsOVHqGhVWPDeI2qVNFsNCWcb?usp=sharing" TargetMode="External"/><Relationship Id="rId34" Type="http://schemas.openxmlformats.org/officeDocument/2006/relationships/hyperlink" Target="https://drive.google.com/drive/folders/1QAf-jitLdCwPCxHLPITnS295uh07UshH" TargetMode="External"/><Relationship Id="rId42" Type="http://schemas.openxmlformats.org/officeDocument/2006/relationships/hyperlink" Target="https://drive.google.com/drive/folders/1tI-hGOfME1Pkszyy9oQIvSiT-Y_TqA8n?usp=sharing" TargetMode="External"/><Relationship Id="rId7" Type="http://schemas.openxmlformats.org/officeDocument/2006/relationships/hyperlink" Target="https://drive.google.com/drive/folders/11Hz6PpKFWWa0YATSk_N_p5UFMuDBzLDC?usp=sharing" TargetMode="External"/><Relationship Id="rId2" Type="http://schemas.openxmlformats.org/officeDocument/2006/relationships/hyperlink" Target="https://drive.google.com/drive/folders/1GDx-lB2Yuj2pY5xsGRyIakPwcImWWqv5?usp=sharing" TargetMode="External"/><Relationship Id="rId16" Type="http://schemas.openxmlformats.org/officeDocument/2006/relationships/hyperlink" Target="https://drive.google.com/drive/folders/1HLRAg9x5mb2CGY7nSE-QauWl7xKzMldu?usp=sharing" TargetMode="External"/><Relationship Id="rId20" Type="http://schemas.openxmlformats.org/officeDocument/2006/relationships/hyperlink" Target="https://drive.google.com/drive/folders/1JLCqlVPRhrJaU8MEu2r8hUtNr7s1UOFa?usp=sharing" TargetMode="External"/><Relationship Id="rId29" Type="http://schemas.openxmlformats.org/officeDocument/2006/relationships/hyperlink" Target="https://drive.google.com/drive/folders/1nsSHbKgp313AS73LYiC40UfHnmIvn9kq?usp=sharing" TargetMode="External"/><Relationship Id="rId41" Type="http://schemas.openxmlformats.org/officeDocument/2006/relationships/hyperlink" Target="https://drive.google.com/drive/folders/1rH9zUDDWcYir5-Gb3zYSBuhp4ddPYXxe?usp=sharing" TargetMode="External"/><Relationship Id="rId1" Type="http://schemas.openxmlformats.org/officeDocument/2006/relationships/hyperlink" Target="https://drive.google.com/drive/folders/1qHYehtdWlNy_1f6ELdJB5dciTq9TuPay?usp=sharing" TargetMode="External"/><Relationship Id="rId6" Type="http://schemas.openxmlformats.org/officeDocument/2006/relationships/hyperlink" Target="https://drive.google.com/drive/folders/15oWN_VACQlvCbzUAXR4Sij-36t91Jbk7?usp=sharing" TargetMode="External"/><Relationship Id="rId11" Type="http://schemas.openxmlformats.org/officeDocument/2006/relationships/hyperlink" Target="https://drive.google.com/drive/folders/1YoRKfOx8lwZlK4yMrMo3cCvqU_4XtyNX" TargetMode="External"/><Relationship Id="rId24" Type="http://schemas.openxmlformats.org/officeDocument/2006/relationships/hyperlink" Target="https://drive.google.com/drive/folders/1TY3P2uv8fOSZp74EuewBSlZVIZtqazAg?usp=sharing" TargetMode="External"/><Relationship Id="rId32" Type="http://schemas.openxmlformats.org/officeDocument/2006/relationships/hyperlink" Target="https://drive.google.com/drive/folders/15LR17YZx1rSm2oNE34BEW1JyGRILbCWE" TargetMode="External"/><Relationship Id="rId37" Type="http://schemas.openxmlformats.org/officeDocument/2006/relationships/hyperlink" Target="https://drive.google.com/drive/folders/1WBk0pZ6tErJzNxvdbIckDcvmbs79Niko?usp=sharing" TargetMode="External"/><Relationship Id="rId40" Type="http://schemas.openxmlformats.org/officeDocument/2006/relationships/hyperlink" Target="https://drive.google.com/drive/folders/1he75cNB1bFjDr0s55550pLxz5ml9M_Mp?usp=sharing" TargetMode="External"/><Relationship Id="rId5" Type="http://schemas.openxmlformats.org/officeDocument/2006/relationships/hyperlink" Target="https://drive.google.com/drive/folders/1i_kaNymp7Dag7-DCSEdniIpKQ2az0MIl?usp=sharing" TargetMode="External"/><Relationship Id="rId15" Type="http://schemas.openxmlformats.org/officeDocument/2006/relationships/hyperlink" Target="https://drive.google.com/drive/folders/18jSo3ajAlCnLF5ZXxcbG0EK4TY67LkP9" TargetMode="External"/><Relationship Id="rId23" Type="http://schemas.openxmlformats.org/officeDocument/2006/relationships/hyperlink" Target="https://drive.google.com/drive/folders/1CaKqSYg8LoXRlT1z_HQBBMA8oD-Twegm?usp=sharing" TargetMode="External"/><Relationship Id="rId28" Type="http://schemas.openxmlformats.org/officeDocument/2006/relationships/hyperlink" Target="https://drive.google.com/drive/folders/1Ca2cTDg-M7TdBdv4HQswzbbC7_STePZA?usp=sharing" TargetMode="External"/><Relationship Id="rId36" Type="http://schemas.openxmlformats.org/officeDocument/2006/relationships/hyperlink" Target="https://drive.google.com/drive/folders/1buK2OcBfEF2MSFa0ZV97WGcQsoSdxmzk?usp=sharing" TargetMode="External"/><Relationship Id="rId10" Type="http://schemas.openxmlformats.org/officeDocument/2006/relationships/hyperlink" Target="https://drive.google.com/drive/folders/1Mjz5nNoglsAHvLd03Ihd4FeqZuHeYvAn?usp=sharing" TargetMode="External"/><Relationship Id="rId19" Type="http://schemas.openxmlformats.org/officeDocument/2006/relationships/hyperlink" Target="https://drive.google.com/drive/folders/1IsevikTt2DG-Lecv6XA3qaAEsQxFDumS?usp=sharing" TargetMode="External"/><Relationship Id="rId31" Type="http://schemas.openxmlformats.org/officeDocument/2006/relationships/hyperlink" Target="https://drive.google.com/drive/folders/1Gv1AygA29QSjVYlA4aKaf26JbEzskuUc" TargetMode="External"/><Relationship Id="rId44" Type="http://schemas.openxmlformats.org/officeDocument/2006/relationships/hyperlink" Target="https://drive.google.com/drive/folders/1kezrxBxVXmc-yo_nswk1ebtW8i6F1NW8?usp=sharing" TargetMode="External"/><Relationship Id="rId4" Type="http://schemas.openxmlformats.org/officeDocument/2006/relationships/hyperlink" Target="https://drive.google.com/drive/folders/1V4mffWC88mM_p5cP0Fe_qxN5b60DFl6U?usp=sharing" TargetMode="External"/><Relationship Id="rId9" Type="http://schemas.openxmlformats.org/officeDocument/2006/relationships/hyperlink" Target="https://drive.google.com/drive/folders/1IStIkFE7n5eT5ztTEki7YVQDYdIN09we?usp=sharing" TargetMode="External"/><Relationship Id="rId14" Type="http://schemas.openxmlformats.org/officeDocument/2006/relationships/hyperlink" Target="https://drive.google.com/drive/folders/1WtMSzz7hdgFqU5ZXzSPC_Y3PKseM64Xw" TargetMode="External"/><Relationship Id="rId22" Type="http://schemas.openxmlformats.org/officeDocument/2006/relationships/hyperlink" Target="https://drive.google.com/drive/folders/1U3LavRQz_hl9KQ49cz7KVNUcSZGkQf9I?usp=sharing" TargetMode="External"/><Relationship Id="rId27" Type="http://schemas.openxmlformats.org/officeDocument/2006/relationships/hyperlink" Target="https://drive.google.com/drive/folders/16gzBHHWtBCD-rZEruN2NB95edOXcseIb?usp=sharing" TargetMode="External"/><Relationship Id="rId30" Type="http://schemas.openxmlformats.org/officeDocument/2006/relationships/hyperlink" Target="https://drive.google.com/drive/folders/1g5uZ4xWGnlHt28bCEf13Fko0KION2kd3?usp=sharing" TargetMode="External"/><Relationship Id="rId35" Type="http://schemas.openxmlformats.org/officeDocument/2006/relationships/hyperlink" Target="https://drive.google.com/drive/folders/1vk-JIVA2JeS7QaF9GLKr1UNgnyw0co8x" TargetMode="External"/><Relationship Id="rId43" Type="http://schemas.openxmlformats.org/officeDocument/2006/relationships/hyperlink" Target="https://drive.google.com/drive/folders/1DJQjmAKBohgHSPktyclqV3sV8_K9Q2yN?usp=drive_link" TargetMode="External"/><Relationship Id="rId8" Type="http://schemas.openxmlformats.org/officeDocument/2006/relationships/hyperlink" Target="https://drive.google.com/drive/folders/1wiI3-BoPMj2e-4C1v9wOjaUFSVpgYpl5?usp=sharing" TargetMode="External"/><Relationship Id="rId3" Type="http://schemas.openxmlformats.org/officeDocument/2006/relationships/hyperlink" Target="https://drive.google.com/drive/folders/1LuvOmtgIe9IYRmIDS7IsaDNGRUf68qKz?usp=sharing" TargetMode="External"/><Relationship Id="rId12" Type="http://schemas.openxmlformats.org/officeDocument/2006/relationships/hyperlink" Target="https://drive.google.com/drive/folders/1lnnltRhROkaT2-WNlFubzYp0Ve-6-bye" TargetMode="External"/><Relationship Id="rId17" Type="http://schemas.openxmlformats.org/officeDocument/2006/relationships/hyperlink" Target="https://drive.google.com/drive/folders/1I6HaQmNFV-bF9uj0ao9gjDJa1ar8eiFL?usp=sharing" TargetMode="External"/><Relationship Id="rId25" Type="http://schemas.openxmlformats.org/officeDocument/2006/relationships/hyperlink" Target="https://drive.google.com/drive/folders/13DCIUQNqsM1iEXSPTH5Li6ju_0AeEqqB?usp=sharing" TargetMode="External"/><Relationship Id="rId33" Type="http://schemas.openxmlformats.org/officeDocument/2006/relationships/hyperlink" Target="https://drive.google.com/drive/folders/1vbTdjrIk1fFszXTEMR30mcTO7n3lDuLw" TargetMode="External"/><Relationship Id="rId38" Type="http://schemas.openxmlformats.org/officeDocument/2006/relationships/hyperlink" Target="https://drive.google.com/drive/folders/1zq2Rmg_ZzyVO9VsgPJOzHIZM5x-6Qmt6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selection activeCell="J13" sqref="J13"/>
    </sheetView>
  </sheetViews>
  <sheetFormatPr defaultRowHeight="14.4" x14ac:dyDescent="0.3"/>
  <cols>
    <col min="3" max="3" width="20.33203125" customWidth="1"/>
  </cols>
  <sheetData>
    <row r="1" spans="1:8" ht="22.2" x14ac:dyDescent="0.3">
      <c r="A1" s="155" t="s">
        <v>0</v>
      </c>
      <c r="B1" s="156"/>
      <c r="C1" s="156"/>
      <c r="D1" s="156"/>
      <c r="E1" s="156"/>
      <c r="F1" s="156"/>
      <c r="G1" s="156"/>
      <c r="H1" s="156"/>
    </row>
    <row r="2" spans="1:8" ht="22.2" x14ac:dyDescent="0.3">
      <c r="A2" s="155" t="s">
        <v>1</v>
      </c>
      <c r="B2" s="156"/>
      <c r="C2" s="156"/>
      <c r="D2" s="156"/>
      <c r="E2" s="156"/>
      <c r="F2" s="156"/>
      <c r="G2" s="156"/>
      <c r="H2" s="156"/>
    </row>
    <row r="3" spans="1:8" x14ac:dyDescent="0.3">
      <c r="C3" s="1"/>
    </row>
    <row r="4" spans="1:8" ht="16.8" x14ac:dyDescent="0.3">
      <c r="A4" s="157" t="s">
        <v>2</v>
      </c>
      <c r="B4" s="156"/>
      <c r="C4" s="2"/>
      <c r="D4" s="3"/>
      <c r="E4" s="3"/>
      <c r="F4" s="3"/>
      <c r="G4" s="3"/>
      <c r="H4" s="3"/>
    </row>
    <row r="5" spans="1:8" ht="15.6" x14ac:dyDescent="0.3">
      <c r="A5" s="4" t="s">
        <v>3</v>
      </c>
      <c r="B5" s="5" t="s">
        <v>4</v>
      </c>
      <c r="C5" s="6" t="s">
        <v>5</v>
      </c>
      <c r="D5" s="3"/>
      <c r="E5" s="3"/>
      <c r="F5" s="3"/>
      <c r="G5" s="3"/>
      <c r="H5" s="3"/>
    </row>
    <row r="6" spans="1:8" ht="15.6" x14ac:dyDescent="0.3">
      <c r="A6" s="4" t="s">
        <v>6</v>
      </c>
      <c r="B6" s="5" t="s">
        <v>4</v>
      </c>
      <c r="C6" s="6" t="s">
        <v>7</v>
      </c>
      <c r="D6" s="3"/>
      <c r="E6" s="3"/>
      <c r="F6" s="3"/>
      <c r="G6" s="3"/>
      <c r="H6" s="3"/>
    </row>
    <row r="7" spans="1:8" ht="15.6" x14ac:dyDescent="0.3">
      <c r="A7" s="4" t="s">
        <v>8</v>
      </c>
      <c r="B7" s="5" t="s">
        <v>4</v>
      </c>
      <c r="C7" s="6" t="s">
        <v>9</v>
      </c>
      <c r="D7" s="3"/>
      <c r="E7" s="7" t="s">
        <v>10</v>
      </c>
      <c r="F7" s="7" t="str">
        <f ca="1">IFERROR(__xludf.DUMMYFUNCTION("INDEX(FILTER('QUERY MASTERDATA SD &amp; SMP'!H:H,'QUERY MASTERDATA SD &amp; SMP'!G:G=C7),1,1)"),"081370120205")</f>
        <v>081370120205</v>
      </c>
      <c r="G7" s="3"/>
      <c r="H7" s="3"/>
    </row>
    <row r="8" spans="1:8" ht="15.6" x14ac:dyDescent="0.3">
      <c r="A8" s="4" t="s">
        <v>11</v>
      </c>
      <c r="B8" s="5" t="s">
        <v>4</v>
      </c>
      <c r="C8" s="6" t="s">
        <v>12</v>
      </c>
      <c r="D8" s="3"/>
      <c r="E8" s="3"/>
      <c r="F8" s="3"/>
      <c r="G8" s="3"/>
      <c r="H8" s="3"/>
    </row>
    <row r="9" spans="1:8" ht="15.6" x14ac:dyDescent="0.3">
      <c r="A9" s="4" t="s">
        <v>13</v>
      </c>
      <c r="B9" s="5" t="s">
        <v>4</v>
      </c>
      <c r="C9" s="6">
        <v>10213879</v>
      </c>
      <c r="D9" s="3"/>
      <c r="E9" s="3"/>
      <c r="F9" s="3"/>
      <c r="G9" s="3"/>
      <c r="H9" s="3"/>
    </row>
    <row r="10" spans="1:8" ht="15.6" x14ac:dyDescent="0.3">
      <c r="A10" s="4" t="s">
        <v>14</v>
      </c>
      <c r="B10" s="5" t="s">
        <v>4</v>
      </c>
      <c r="C10" s="8" t="s">
        <v>15</v>
      </c>
      <c r="D10" s="3"/>
      <c r="E10" s="7" t="s">
        <v>10</v>
      </c>
      <c r="F10" s="7" t="str">
        <f ca="1">IFERROR(__xludf.DUMMYFUNCTION("INDEX(FILTER('QUERY MASTERDATA SD &amp; SMP'!J:J,'QUERY MASTERDATA SD &amp; SMP'!I:I=C10),1,1)"),"081264088276")</f>
        <v>081264088276</v>
      </c>
      <c r="G10" s="3"/>
      <c r="H10" s="3"/>
    </row>
    <row r="11" spans="1:8" ht="15.6" x14ac:dyDescent="0.3">
      <c r="A11" s="4" t="s">
        <v>16</v>
      </c>
      <c r="B11" s="5" t="s">
        <v>4</v>
      </c>
      <c r="C11" s="6" t="s">
        <v>17</v>
      </c>
      <c r="D11" s="9"/>
      <c r="E11" s="9"/>
      <c r="F11" s="3"/>
      <c r="G11" s="3"/>
      <c r="H11" s="3"/>
    </row>
    <row r="12" spans="1:8" x14ac:dyDescent="0.3">
      <c r="A12" s="10" t="s">
        <v>18</v>
      </c>
      <c r="B12" s="11" t="s">
        <v>4</v>
      </c>
      <c r="C12" s="2">
        <v>975</v>
      </c>
      <c r="D12" s="3"/>
      <c r="E12" s="3"/>
      <c r="F12" s="3"/>
      <c r="G12" s="3"/>
      <c r="H12" s="3"/>
    </row>
    <row r="13" spans="1:8" x14ac:dyDescent="0.3">
      <c r="A13" s="3"/>
      <c r="B13" s="3"/>
      <c r="C13" s="2"/>
      <c r="D13" s="3"/>
      <c r="E13" s="3"/>
      <c r="F13" s="3"/>
      <c r="G13" s="3"/>
      <c r="H13" s="3"/>
    </row>
    <row r="14" spans="1:8" ht="16.8" x14ac:dyDescent="0.3">
      <c r="A14" s="157" t="s">
        <v>19</v>
      </c>
      <c r="B14" s="156"/>
      <c r="C14" s="156"/>
      <c r="D14" s="3"/>
      <c r="E14" s="3"/>
      <c r="F14" s="3"/>
      <c r="G14" s="3"/>
      <c r="H14" s="3"/>
    </row>
    <row r="15" spans="1:8" ht="60" x14ac:dyDescent="0.3">
      <c r="A15" s="12" t="s">
        <v>20</v>
      </c>
      <c r="B15" s="12" t="s">
        <v>21</v>
      </c>
      <c r="C15" s="13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2" t="s">
        <v>27</v>
      </c>
    </row>
    <row r="16" spans="1:8" ht="109.2" x14ac:dyDescent="0.3">
      <c r="A16" s="14">
        <v>1</v>
      </c>
      <c r="B16" s="15">
        <v>46023</v>
      </c>
      <c r="C16" s="16" t="s">
        <v>28</v>
      </c>
      <c r="D16" s="17" t="str">
        <f ca="1">IFERROR(__xludf.DUMMYFUNCTION("FILTER('QUERY MASTERDATA SD &amp; SMP'!N:N,'QUERY MASTERDATA SD &amp; SMP'!$F:$F=$C$8,'QUERY MASTERDATA SD &amp; SMP'!$L:$L=$C$11,'QUERY MASTERDATA SD &amp; SMP'!$DO:$DO=$C$12)"),"#N/A")</f>
        <v>#N/A</v>
      </c>
      <c r="E16" s="17" t="str">
        <f ca="1">IFERROR(__xludf.DUMMYFUNCTION("FILTER('QUERY MASTERDATA SD &amp; SMP'!O:O,'QUERY MASTERDATA SD &amp; SMP'!$F:$F=$C$8,'QUERY MASTERDATA SD &amp; SMP'!$L:$L=$C$11,'QUERY MASTERDATA SD &amp; SMP'!$DO:$DO=$C$12)"),"#N/A")</f>
        <v>#N/A</v>
      </c>
      <c r="F16" s="17" t="str">
        <f ca="1">IFERROR(__xludf.DUMMYFUNCTION("FILTER('QUERY MASTERDATA SD &amp; SMP'!P:P,'QUERY MASTERDATA SD &amp; SMP'!$F:$F=$C$8,'QUERY MASTERDATA SD &amp; SMP'!$L:$L=$C$11,'QUERY MASTERDATA SD &amp; SMP'!$DO:$DO=$C$12)"),"#N/A")</f>
        <v>#N/A</v>
      </c>
      <c r="G16" s="18" t="str">
        <f ca="1">IFERROR(__xludf.DUMMYFUNCTION("FILTER('QUERY MASTERDATA SD &amp; SMP'!Q:Q,'QUERY MASTERDATA SD &amp; SMP'!$F:$F=$C$8,'QUERY MASTERDATA SD &amp; SMP'!$L:$L=$C$11,'QUERY MASTERDATA SD &amp; SMP'!$DO:$DO=$C$12)"),"#N/A")</f>
        <v>#N/A</v>
      </c>
      <c r="H16" s="19" t="e">
        <f t="shared" ref="H16:H41" ca="1" si="0">_xludf.IMAGE("https://api.qrserver.com/v1/create-qr-code/?size=150x150&amp;data=" &amp; _xludf.ENCODEURL(G16))</f>
        <v>#NAME?</v>
      </c>
    </row>
    <row r="17" spans="1:8" ht="78" x14ac:dyDescent="0.3">
      <c r="A17" s="20">
        <v>2</v>
      </c>
      <c r="B17" s="21">
        <v>46054</v>
      </c>
      <c r="C17" s="22" t="s">
        <v>29</v>
      </c>
      <c r="D17" s="17" t="str">
        <f ca="1">IFERROR(__xludf.DUMMYFUNCTION("FILTER('QUERY MASTERDATA SD &amp; SMP'!R:R,'QUERY MASTERDATA SD &amp; SMP'!$F:$F=$C$8,'QUERY MASTERDATA SD &amp; SMP'!$L:$L=$C$11,'QUERY MASTERDATA SD &amp; SMP'!$DO:$DO=$C$12)"),"#N/A")</f>
        <v>#N/A</v>
      </c>
      <c r="E17" s="17" t="str">
        <f ca="1">IFERROR(__xludf.DUMMYFUNCTION("FILTER('QUERY MASTERDATA SD &amp; SMP'!S:S,'QUERY MASTERDATA SD &amp; SMP'!$F:$F=$C$8,'QUERY MASTERDATA SD &amp; SMP'!$L:$L=$C$11,'QUERY MASTERDATA SD &amp; SMP'!$DO:$DO=$C$12)"),"#N/A")</f>
        <v>#N/A</v>
      </c>
      <c r="F17" s="17" t="str">
        <f ca="1">IFERROR(__xludf.DUMMYFUNCTION("FILTER('QUERY MASTERDATA SD &amp; SMP'!T:T,'QUERY MASTERDATA SD &amp; SMP'!$F:$F=$C$8,'QUERY MASTERDATA SD &amp; SMP'!$L:$L=$C$11,'QUERY MASTERDATA SD &amp; SMP'!$DO:$DO=$C$12)"),"#N/A")</f>
        <v>#N/A</v>
      </c>
      <c r="G17" s="18" t="str">
        <f ca="1">IFERROR(__xludf.DUMMYFUNCTION("FILTER('QUERY MASTERDATA SD &amp; SMP'!U:U,'QUERY MASTERDATA SD &amp; SMP'!$F:$F=$C$8,'QUERY MASTERDATA SD &amp; SMP'!$L:$L=$C$11,'QUERY MASTERDATA SD &amp; SMP'!$DO:$DO=$C$12)"),"#N/A")</f>
        <v>#N/A</v>
      </c>
      <c r="H17" s="19" t="e">
        <f t="shared" ca="1" si="0"/>
        <v>#NAME?</v>
      </c>
    </row>
    <row r="18" spans="1:8" ht="62.4" x14ac:dyDescent="0.3">
      <c r="A18" s="14">
        <v>3</v>
      </c>
      <c r="B18" s="15">
        <v>46082</v>
      </c>
      <c r="C18" s="16" t="s">
        <v>30</v>
      </c>
      <c r="D18" s="17" t="str">
        <f ca="1">IFERROR(__xludf.DUMMYFUNCTION("FILTER('QUERY MASTERDATA SD &amp; SMP'!V:V,'QUERY MASTERDATA SD &amp; SMP'!$F:$F=$C$8,'QUERY MASTERDATA SD &amp; SMP'!$L:$L=$C$11,'QUERY MASTERDATA SD &amp; SMP'!$DO:$DO=$C$12)"),"#N/A")</f>
        <v>#N/A</v>
      </c>
      <c r="E18" s="17" t="str">
        <f ca="1">IFERROR(__xludf.DUMMYFUNCTION("FILTER('QUERY MASTERDATA SD &amp; SMP'!W:W,'QUERY MASTERDATA SD &amp; SMP'!$F:$F=$C$8,'QUERY MASTERDATA SD &amp; SMP'!$L:$L=$C$11,'QUERY MASTERDATA SD &amp; SMP'!$DO:$DO=$C$12)"),"#N/A")</f>
        <v>#N/A</v>
      </c>
      <c r="F18" s="17" t="str">
        <f ca="1">IFERROR(__xludf.DUMMYFUNCTION("FILTER('QUERY MASTERDATA SD &amp; SMP'!X:X,'QUERY MASTERDATA SD &amp; SMP'!$F:$F=$C$8,'QUERY MASTERDATA SD &amp; SMP'!$L:$L=$C$11,'QUERY MASTERDATA SD &amp; SMP'!$DO:$DO=$C$12)"),"#N/A")</f>
        <v>#N/A</v>
      </c>
      <c r="G18" s="18" t="str">
        <f ca="1">IFERROR(__xludf.DUMMYFUNCTION("FILTER('QUERY MASTERDATA SD &amp; SMP'!Y:Y,'QUERY MASTERDATA SD &amp; SMP'!$F:$F=$C$8,'QUERY MASTERDATA SD &amp; SMP'!$L:$L=$C$11,'QUERY MASTERDATA SD &amp; SMP'!$DO:$DO=$C$12)"),"#N/A")</f>
        <v>#N/A</v>
      </c>
      <c r="H18" s="19" t="e">
        <f t="shared" ca="1" si="0"/>
        <v>#NAME?</v>
      </c>
    </row>
    <row r="19" spans="1:8" ht="46.8" x14ac:dyDescent="0.3">
      <c r="A19" s="20">
        <v>4</v>
      </c>
      <c r="B19" s="21">
        <v>46113</v>
      </c>
      <c r="C19" s="22" t="s">
        <v>31</v>
      </c>
      <c r="D19" s="17" t="str">
        <f ca="1">IFERROR(__xludf.DUMMYFUNCTION("FILTER('QUERY MASTERDATA SD &amp; SMP'!Z:Z,'QUERY MASTERDATA SD &amp; SMP'!$F:$F=$C$8,'QUERY MASTERDATA SD &amp; SMP'!$L:$L=$C$11,'QUERY MASTERDATA SD &amp; SMP'!$DO:$DO=$C$12)"),"#N/A")</f>
        <v>#N/A</v>
      </c>
      <c r="E19" s="17" t="str">
        <f ca="1">IFERROR(__xludf.DUMMYFUNCTION("FILTER('QUERY MASTERDATA SD &amp; SMP'!AA:AA,'QUERY MASTERDATA SD &amp; SMP'!$F:$F=$C$8,'QUERY MASTERDATA SD &amp; SMP'!$L:$L=$C$11,'QUERY MASTERDATA SD &amp; SMP'!$DO:$DO=$C$12)"),"#N/A")</f>
        <v>#N/A</v>
      </c>
      <c r="F19" s="17" t="str">
        <f ca="1">IFERROR(__xludf.DUMMYFUNCTION("FILTER('QUERY MASTERDATA SD &amp; SMP'!AB:AB,'QUERY MASTERDATA SD &amp; SMP'!$F:$F=$C$8,'QUERY MASTERDATA SD &amp; SMP'!$L:$L=$C$11,'QUERY MASTERDATA SD &amp; SMP'!$DO:$DO=$C$12)"),"#N/A")</f>
        <v>#N/A</v>
      </c>
      <c r="G19" s="18" t="str">
        <f ca="1">IFERROR(__xludf.DUMMYFUNCTION("FILTER('QUERY MASTERDATA SD &amp; SMP'!AC:AC,'QUERY MASTERDATA SD &amp; SMP'!$F:$F=$C$8,'QUERY MASTERDATA SD &amp; SMP'!$L:$L=$C$11,'QUERY MASTERDATA SD &amp; SMP'!$DO:$DO=$C$12)"),"#N/A")</f>
        <v>#N/A</v>
      </c>
      <c r="H19" s="19" t="e">
        <f t="shared" ca="1" si="0"/>
        <v>#NAME?</v>
      </c>
    </row>
    <row r="20" spans="1:8" ht="31.2" x14ac:dyDescent="0.3">
      <c r="A20" s="14">
        <v>5</v>
      </c>
      <c r="B20" s="15">
        <v>46143</v>
      </c>
      <c r="C20" s="16" t="s">
        <v>32</v>
      </c>
      <c r="D20" s="17" t="str">
        <f ca="1">IFERROR(__xludf.DUMMYFUNCTION("FILTER('QUERY MASTERDATA SD &amp; SMP'!AD:AD,'QUERY MASTERDATA SD &amp; SMP'!$F:$F=$C$8,'QUERY MASTERDATA SD &amp; SMP'!$L:$L=$C$11,'QUERY MASTERDATA SD &amp; SMP'!$DO:$DO=$C$12)"),"#N/A")</f>
        <v>#N/A</v>
      </c>
      <c r="E20" s="17" t="str">
        <f ca="1">IFERROR(__xludf.DUMMYFUNCTION("FILTER('QUERY MASTERDATA SD &amp; SMP'!AE:AE,'QUERY MASTERDATA SD &amp; SMP'!$F:$F=$C$8,'QUERY MASTERDATA SD &amp; SMP'!$L:$L=$C$11,'QUERY MASTERDATA SD &amp; SMP'!$DO:$DO=$C$12)"),"#N/A")</f>
        <v>#N/A</v>
      </c>
      <c r="F20" s="17" t="str">
        <f ca="1">IFERROR(__xludf.DUMMYFUNCTION("FILTER('QUERY MASTERDATA SD &amp; SMP'!AF:AF,'QUERY MASTERDATA SD &amp; SMP'!$F:$F=$C$8,'QUERY MASTERDATA SD &amp; SMP'!$L:$L=$C$11,'QUERY MASTERDATA SD &amp; SMP'!$DO:$DO=$C$12)"),"#N/A")</f>
        <v>#N/A</v>
      </c>
      <c r="G20" s="18" t="str">
        <f ca="1">IFERROR(__xludf.DUMMYFUNCTION("FILTER('QUERY MASTERDATA SD &amp; SMP'!AG:AG,'QUERY MASTERDATA SD &amp; SMP'!$F:$F=$C$8,'QUERY MASTERDATA SD &amp; SMP'!$L:$L=$C$11,'QUERY MASTERDATA SD &amp; SMP'!$DO:$DO=$C$12)"),"#N/A")</f>
        <v>#N/A</v>
      </c>
      <c r="H20" s="19" t="e">
        <f t="shared" ca="1" si="0"/>
        <v>#NAME?</v>
      </c>
    </row>
    <row r="21" spans="1:8" ht="46.8" x14ac:dyDescent="0.3">
      <c r="A21" s="20">
        <v>6</v>
      </c>
      <c r="B21" s="21">
        <v>46174</v>
      </c>
      <c r="C21" s="22" t="s">
        <v>33</v>
      </c>
      <c r="D21" s="17" t="str">
        <f ca="1">IFERROR(__xludf.DUMMYFUNCTION("FILTER('QUERY MASTERDATA SD &amp; SMP'!AH:AH,'QUERY MASTERDATA SD &amp; SMP'!$F:$F=$C$8,'QUERY MASTERDATA SD &amp; SMP'!$L:$L=$C$11,'QUERY MASTERDATA SD &amp; SMP'!$DO:$DO=$C$12)"),"#N/A")</f>
        <v>#N/A</v>
      </c>
      <c r="E21" s="17" t="str">
        <f ca="1">IFERROR(__xludf.DUMMYFUNCTION("FILTER('QUERY MASTERDATA SD &amp; SMP'!AI:AI,'QUERY MASTERDATA SD &amp; SMP'!$F:$F=$C$8,'QUERY MASTERDATA SD &amp; SMP'!$L:$L=$C$11,'QUERY MASTERDATA SD &amp; SMP'!$DO:$DO=$C$12)"),"#N/A")</f>
        <v>#N/A</v>
      </c>
      <c r="F21" s="17" t="str">
        <f ca="1">IFERROR(__xludf.DUMMYFUNCTION("FILTER('QUERY MASTERDATA SD &amp; SMP'!AJ:AJ,'QUERY MASTERDATA SD &amp; SMP'!$F:$F=$C$8,'QUERY MASTERDATA SD &amp; SMP'!$L:$L=$C$11,'QUERY MASTERDATA SD &amp; SMP'!$DO:$DO=$C$12)"),"#N/A")</f>
        <v>#N/A</v>
      </c>
      <c r="G21" s="18" t="str">
        <f ca="1">IFERROR(__xludf.DUMMYFUNCTION("FILTER('QUERY MASTERDATA SD &amp; SMP'!AK:AK,'QUERY MASTERDATA SD &amp; SMP'!$F:$F=$C$8,'QUERY MASTERDATA SD &amp; SMP'!$L:$L=$C$11,'QUERY MASTERDATA SD &amp; SMP'!$DO:$DO=$C$12)"),"#N/A")</f>
        <v>#N/A</v>
      </c>
      <c r="H21" s="19" t="e">
        <f t="shared" ca="1" si="0"/>
        <v>#NAME?</v>
      </c>
    </row>
    <row r="22" spans="1:8" ht="46.8" x14ac:dyDescent="0.3">
      <c r="A22" s="14">
        <v>7</v>
      </c>
      <c r="B22" s="15">
        <v>46024</v>
      </c>
      <c r="C22" s="16" t="s">
        <v>34</v>
      </c>
      <c r="D22" s="17" t="str">
        <f ca="1">IFERROR(__xludf.DUMMYFUNCTION("FILTER('QUERY MASTERDATA SD &amp; SMP'!AL:AL,'QUERY MASTERDATA SD &amp; SMP'!$F:$F=$C$8,'QUERY MASTERDATA SD &amp; SMP'!$L:$L=$C$11,'QUERY MASTERDATA SD &amp; SMP'!$DO:$DO=$C$12)"),"#N/A")</f>
        <v>#N/A</v>
      </c>
      <c r="E22" s="17" t="str">
        <f ca="1">IFERROR(__xludf.DUMMYFUNCTION("FILTER('QUERY MASTERDATA SD &amp; SMP'!AM:AM,'QUERY MASTERDATA SD &amp; SMP'!$F:$F=$C$8,'QUERY MASTERDATA SD &amp; SMP'!$L:$L=$C$11,'QUERY MASTERDATA SD &amp; SMP'!$DO:$DO=$C$12)"),"#N/A")</f>
        <v>#N/A</v>
      </c>
      <c r="F22" s="17" t="str">
        <f ca="1">IFERROR(__xludf.DUMMYFUNCTION("FILTER('QUERY MASTERDATA SD &amp; SMP'!AN:AN,'QUERY MASTERDATA SD &amp; SMP'!$F:$F=$C$8,'QUERY MASTERDATA SD &amp; SMP'!$L:$L=$C$11,'QUERY MASTERDATA SD &amp; SMP'!$DO:$DO=$C$12)"),"#N/A")</f>
        <v>#N/A</v>
      </c>
      <c r="G22" s="18" t="str">
        <f ca="1">IFERROR(__xludf.DUMMYFUNCTION("FILTER('QUERY MASTERDATA SD &amp; SMP'!AO:AO,'QUERY MASTERDATA SD &amp; SMP'!$F:$F=$C$8,'QUERY MASTERDATA SD &amp; SMP'!$L:$L=$C$11,'QUERY MASTERDATA SD &amp; SMP'!$DO:$DO=$C$12)"),"#N/A")</f>
        <v>#N/A</v>
      </c>
      <c r="H22" s="19" t="e">
        <f t="shared" ca="1" si="0"/>
        <v>#NAME?</v>
      </c>
    </row>
    <row r="23" spans="1:8" ht="31.2" x14ac:dyDescent="0.3">
      <c r="A23" s="20">
        <v>8</v>
      </c>
      <c r="B23" s="21">
        <v>46055</v>
      </c>
      <c r="C23" s="22" t="s">
        <v>35</v>
      </c>
      <c r="D23" s="17" t="str">
        <f ca="1">IFERROR(__xludf.DUMMYFUNCTION("FILTER('QUERY MASTERDATA SD &amp; SMP'!AP:AP,'QUERY MASTERDATA SD &amp; SMP'!$F:$F=$C$8,'QUERY MASTERDATA SD &amp; SMP'!$L:$L=$C$11,'QUERY MASTERDATA SD &amp; SMP'!$DO:$DO=$C$12)"),"#N/A")</f>
        <v>#N/A</v>
      </c>
      <c r="E23" s="17" t="str">
        <f ca="1">IFERROR(__xludf.DUMMYFUNCTION("FILTER('QUERY MASTERDATA SD &amp; SMP'!AQ:AQ,'QUERY MASTERDATA SD &amp; SMP'!$F:$F=$C$8,'QUERY MASTERDATA SD &amp; SMP'!$L:$L=$C$11,'QUERY MASTERDATA SD &amp; SMP'!$DO:$DO=$C$12)"),"#N/A")</f>
        <v>#N/A</v>
      </c>
      <c r="F23" s="17" t="str">
        <f ca="1">IFERROR(__xludf.DUMMYFUNCTION("FILTER('QUERY MASTERDATA SD &amp; SMP'!AR:AR,'QUERY MASTERDATA SD &amp; SMP'!$F:$F=$C$8,'QUERY MASTERDATA SD &amp; SMP'!$L:$L=$C$11,'QUERY MASTERDATA SD &amp; SMP'!$DO:$DO=$C$12)"),"#N/A")</f>
        <v>#N/A</v>
      </c>
      <c r="G23" s="18" t="str">
        <f ca="1">IFERROR(__xludf.DUMMYFUNCTION("FILTER('QUERY MASTERDATA SD &amp; SMP'!AS:AS,'QUERY MASTERDATA SD &amp; SMP'!$F:$F=$C$8,'QUERY MASTERDATA SD &amp; SMP'!$L:$L=$C$11,'QUERY MASTERDATA SD &amp; SMP'!$DO:$DO=$C$12)"),"#N/A")</f>
        <v>#N/A</v>
      </c>
      <c r="H23" s="19" t="e">
        <f t="shared" ca="1" si="0"/>
        <v>#NAME?</v>
      </c>
    </row>
    <row r="24" spans="1:8" ht="62.4" x14ac:dyDescent="0.3">
      <c r="A24" s="14">
        <v>9</v>
      </c>
      <c r="B24" s="15">
        <v>46083</v>
      </c>
      <c r="C24" s="16" t="s">
        <v>36</v>
      </c>
      <c r="D24" s="17" t="str">
        <f ca="1">IFERROR(__xludf.DUMMYFUNCTION("FILTER('QUERY MASTERDATA SD &amp; SMP'!AT:AT,'QUERY MASTERDATA SD &amp; SMP'!$F:$F=$C$8,'QUERY MASTERDATA SD &amp; SMP'!$L:$L=$C$11,'QUERY MASTERDATA SD &amp; SMP'!$DO:$DO=$C$12)"),"#N/A")</f>
        <v>#N/A</v>
      </c>
      <c r="E24" s="17" t="str">
        <f ca="1">IFERROR(__xludf.DUMMYFUNCTION("FILTER('QUERY MASTERDATA SD &amp; SMP'!AU:AU,'QUERY MASTERDATA SD &amp; SMP'!$F:$F=$C$8,'QUERY MASTERDATA SD &amp; SMP'!$L:$L=$C$11,'QUERY MASTERDATA SD &amp; SMP'!$DO:$DO=$C$12)"),"#N/A")</f>
        <v>#N/A</v>
      </c>
      <c r="F24" s="17" t="str">
        <f ca="1">IFERROR(__xludf.DUMMYFUNCTION("FILTER('QUERY MASTERDATA SD &amp; SMP'!AV:AV,'QUERY MASTERDATA SD &amp; SMP'!$F:$F=$C$8,'QUERY MASTERDATA SD &amp; SMP'!$L:$L=$C$11,'QUERY MASTERDATA SD &amp; SMP'!$DO:$DO=$C$12)"),"#N/A")</f>
        <v>#N/A</v>
      </c>
      <c r="G24" s="18" t="str">
        <f ca="1">IFERROR(__xludf.DUMMYFUNCTION("FILTER('QUERY MASTERDATA SD &amp; SMP'!AW:AW,'QUERY MASTERDATA SD &amp; SMP'!$F:$F=$C$8,'QUERY MASTERDATA SD &amp; SMP'!$L:$L=$C$11,'QUERY MASTERDATA SD &amp; SMP'!$DO:$DO=$C$12)"),"#N/A")</f>
        <v>#N/A</v>
      </c>
      <c r="H24" s="19" t="e">
        <f t="shared" ca="1" si="0"/>
        <v>#NAME?</v>
      </c>
    </row>
    <row r="25" spans="1:8" ht="15.6" x14ac:dyDescent="0.3">
      <c r="A25" s="20">
        <v>10</v>
      </c>
      <c r="B25" s="21">
        <v>46114</v>
      </c>
      <c r="C25" s="22" t="s">
        <v>37</v>
      </c>
      <c r="D25" s="17" t="str">
        <f ca="1">IFERROR(__xludf.DUMMYFUNCTION("FILTER('QUERY MASTERDATA SD &amp; SMP'!AX:AX,'QUERY MASTERDATA SD &amp; SMP'!$F:$F=$C$8,'QUERY MASTERDATA SD &amp; SMP'!$L:$L=$C$11,'QUERY MASTERDATA SD &amp; SMP'!$DO:$DO=$C$12)"),"#N/A")</f>
        <v>#N/A</v>
      </c>
      <c r="E25" s="17" t="str">
        <f ca="1">IFERROR(__xludf.DUMMYFUNCTION("FILTER('QUERY MASTERDATA SD &amp; SMP'!AY:AY,'QUERY MASTERDATA SD &amp; SMP'!$F:$F=$C$8,'QUERY MASTERDATA SD &amp; SMP'!$L:$L=$C$11,'QUERY MASTERDATA SD &amp; SMP'!$DO:$DO=$C$12)"),"#N/A")</f>
        <v>#N/A</v>
      </c>
      <c r="F25" s="17" t="str">
        <f ca="1">IFERROR(__xludf.DUMMYFUNCTION("FILTER('QUERY MASTERDATA SD &amp; SMP'!AZ:AZ,'QUERY MASTERDATA SD &amp; SMP'!$F:$F=$C$8,'QUERY MASTERDATA SD &amp; SMP'!$L:$L=$C$11,'QUERY MASTERDATA SD &amp; SMP'!$DO:$DO=$C$12)"),"#N/A")</f>
        <v>#N/A</v>
      </c>
      <c r="G25" s="18" t="str">
        <f ca="1">IFERROR(__xludf.DUMMYFUNCTION("FILTER('QUERY MASTERDATA SD &amp; SMP'!BA:BA,'QUERY MASTERDATA SD &amp; SMP'!$F:$F=$C$8,'QUERY MASTERDATA SD &amp; SMP'!$L:$L=$C$11,'QUERY MASTERDATA SD &amp; SMP'!$DO:$DO=$C$12)"),"#N/A")</f>
        <v>#N/A</v>
      </c>
      <c r="H25" s="19" t="e">
        <f t="shared" ca="1" si="0"/>
        <v>#NAME?</v>
      </c>
    </row>
    <row r="26" spans="1:8" ht="31.2" x14ac:dyDescent="0.3">
      <c r="A26" s="14">
        <v>11</v>
      </c>
      <c r="B26" s="15">
        <v>46025</v>
      </c>
      <c r="C26" s="16" t="s">
        <v>38</v>
      </c>
      <c r="D26" s="17" t="str">
        <f ca="1">IFERROR(__xludf.DUMMYFUNCTION("FILTER('QUERY MASTERDATA SD &amp; SMP'!BB:BB,'QUERY MASTERDATA SD &amp; SMP'!$F:$F=$C$8,'QUERY MASTERDATA SD &amp; SMP'!$L:$L=$C$11,'QUERY MASTERDATA SD &amp; SMP'!$DO:$DO=$C$12)"),"#N/A")</f>
        <v>#N/A</v>
      </c>
      <c r="E26" s="17" t="str">
        <f ca="1">IFERROR(__xludf.DUMMYFUNCTION("FILTER('QUERY MASTERDATA SD &amp; SMP'!BC:BC,'QUERY MASTERDATA SD &amp; SMP'!$F:$F=$C$8,'QUERY MASTERDATA SD &amp; SMP'!$L:$L=$C$11,'QUERY MASTERDATA SD &amp; SMP'!$DO:$DO=$C$12)"),"#N/A")</f>
        <v>#N/A</v>
      </c>
      <c r="F26" s="17" t="str">
        <f ca="1">IFERROR(__xludf.DUMMYFUNCTION("FILTER('QUERY MASTERDATA SD &amp; SMP'!BD:BD,'QUERY MASTERDATA SD &amp; SMP'!$F:$F=$C$8,'QUERY MASTERDATA SD &amp; SMP'!$L:$L=$C$11,'QUERY MASTERDATA SD &amp; SMP'!$DO:$DO=$C$12)"),"#N/A")</f>
        <v>#N/A</v>
      </c>
      <c r="G26" s="18" t="str">
        <f ca="1">IFERROR(__xludf.DUMMYFUNCTION("FILTER('QUERY MASTERDATA SD &amp; SMP'!BE:BE,'QUERY MASTERDATA SD &amp; SMP'!$F:$F=$C$8,'QUERY MASTERDATA SD &amp; SMP'!$L:$L=$C$11,'QUERY MASTERDATA SD &amp; SMP'!$DO:$DO=$C$12)"),"#N/A")</f>
        <v>#N/A</v>
      </c>
      <c r="H26" s="19" t="e">
        <f t="shared" ca="1" si="0"/>
        <v>#NAME?</v>
      </c>
    </row>
    <row r="27" spans="1:8" ht="46.8" x14ac:dyDescent="0.3">
      <c r="A27" s="20">
        <v>12</v>
      </c>
      <c r="B27" s="21">
        <v>46056</v>
      </c>
      <c r="C27" s="22" t="s">
        <v>39</v>
      </c>
      <c r="D27" s="17" t="str">
        <f ca="1">IFERROR(__xludf.DUMMYFUNCTION("FILTER('QUERY MASTERDATA SD &amp; SMP'!BF:BF,'QUERY MASTERDATA SD &amp; SMP'!$F:$F=$C$8,'QUERY MASTERDATA SD &amp; SMP'!$L:$L=$C$11,'QUERY MASTERDATA SD &amp; SMP'!$DO:$DO=$C$12)"),"#N/A")</f>
        <v>#N/A</v>
      </c>
      <c r="E27" s="17" t="str">
        <f ca="1">IFERROR(__xludf.DUMMYFUNCTION("FILTER('QUERY MASTERDATA SD &amp; SMP'!BG:BG,'QUERY MASTERDATA SD &amp; SMP'!$F:$F=$C$8,'QUERY MASTERDATA SD &amp; SMP'!$L:$L=$C$11,'QUERY MASTERDATA SD &amp; SMP'!$DO:$DO=$C$12)"),"#N/A")</f>
        <v>#N/A</v>
      </c>
      <c r="F27" s="17" t="str">
        <f ca="1">IFERROR(__xludf.DUMMYFUNCTION("FILTER('QUERY MASTERDATA SD &amp; SMP'!BH:BH,'QUERY MASTERDATA SD &amp; SMP'!$F:$F=$C$8,'QUERY MASTERDATA SD &amp; SMP'!$L:$L=$C$11,'QUERY MASTERDATA SD &amp; SMP'!$DO:$DO=$C$12)"),"#N/A")</f>
        <v>#N/A</v>
      </c>
      <c r="G27" s="18" t="str">
        <f ca="1">IFERROR(__xludf.DUMMYFUNCTION("FILTER('QUERY MASTERDATA SD &amp; SMP'!BI:BI,'QUERY MASTERDATA SD &amp; SMP'!$F:$F=$C$8,'QUERY MASTERDATA SD &amp; SMP'!$L:$L=$C$11,'QUERY MASTERDATA SD &amp; SMP'!$DO:$DO=$C$12)"),"#N/A")</f>
        <v>#N/A</v>
      </c>
      <c r="H27" s="19" t="e">
        <f t="shared" ca="1" si="0"/>
        <v>#NAME?</v>
      </c>
    </row>
    <row r="28" spans="1:8" ht="62.4" x14ac:dyDescent="0.3">
      <c r="A28" s="14">
        <v>13</v>
      </c>
      <c r="B28" s="15">
        <v>46084</v>
      </c>
      <c r="C28" s="16" t="s">
        <v>40</v>
      </c>
      <c r="D28" s="17" t="str">
        <f ca="1">IFERROR(__xludf.DUMMYFUNCTION("FILTER('QUERY MASTERDATA SD &amp; SMP'!BJ:BJ,'QUERY MASTERDATA SD &amp; SMP'!$F:$F=$C$8,'QUERY MASTERDATA SD &amp; SMP'!$L:$L=$C$11,'QUERY MASTERDATA SD &amp; SMP'!$DO:$DO=$C$12)"),"#N/A")</f>
        <v>#N/A</v>
      </c>
      <c r="E28" s="17" t="str">
        <f ca="1">IFERROR(__xludf.DUMMYFUNCTION("FILTER('QUERY MASTERDATA SD &amp; SMP'!BK:BK,'QUERY MASTERDATA SD &amp; SMP'!$F:$F=$C$8,'QUERY MASTERDATA SD &amp; SMP'!$L:$L=$C$11,'QUERY MASTERDATA SD &amp; SMP'!$DO:$DO=$C$12)"),"#N/A")</f>
        <v>#N/A</v>
      </c>
      <c r="F28" s="17" t="str">
        <f ca="1">IFERROR(__xludf.DUMMYFUNCTION("FILTER('QUERY MASTERDATA SD &amp; SMP'!BL:BL,'QUERY MASTERDATA SD &amp; SMP'!$F:$F=$C$8,'QUERY MASTERDATA SD &amp; SMP'!$L:$L=$C$11,'QUERY MASTERDATA SD &amp; SMP'!$DO:$DO=$C$12)"),"#N/A")</f>
        <v>#N/A</v>
      </c>
      <c r="G28" s="18" t="str">
        <f ca="1">IFERROR(__xludf.DUMMYFUNCTION("FILTER('QUERY MASTERDATA SD &amp; SMP'!BM:BM,'QUERY MASTERDATA SD &amp; SMP'!$F:$F=$C$8,'QUERY MASTERDATA SD &amp; SMP'!$L:$L=$C$11,'QUERY MASTERDATA SD &amp; SMP'!$DO:$DO=$C$12)"),"#N/A")</f>
        <v>#N/A</v>
      </c>
      <c r="H28" s="19" t="e">
        <f t="shared" ca="1" si="0"/>
        <v>#NAME?</v>
      </c>
    </row>
    <row r="29" spans="1:8" ht="31.2" x14ac:dyDescent="0.3">
      <c r="A29" s="20">
        <v>14</v>
      </c>
      <c r="B29" s="21">
        <v>46026</v>
      </c>
      <c r="C29" s="22" t="s">
        <v>41</v>
      </c>
      <c r="D29" s="17" t="str">
        <f ca="1">IFERROR(__xludf.DUMMYFUNCTION("FILTER('QUERY MASTERDATA SD &amp; SMP'!BN:BN,'QUERY MASTERDATA SD &amp; SMP'!$F:$F=$C$8,'QUERY MASTERDATA SD &amp; SMP'!$L:$L=$C$11,'QUERY MASTERDATA SD &amp; SMP'!$DO:$DO=$C$12)"),"#N/A")</f>
        <v>#N/A</v>
      </c>
      <c r="E29" s="17" t="str">
        <f ca="1">IFERROR(__xludf.DUMMYFUNCTION("FILTER('QUERY MASTERDATA SD &amp; SMP'!BO:BO,'QUERY MASTERDATA SD &amp; SMP'!$F:$F=$C$8,'QUERY MASTERDATA SD &amp; SMP'!$L:$L=$C$11,'QUERY MASTERDATA SD &amp; SMP'!$DO:$DO=$C$12)"),"#N/A")</f>
        <v>#N/A</v>
      </c>
      <c r="F29" s="17" t="str">
        <f ca="1">IFERROR(__xludf.DUMMYFUNCTION("FILTER('QUERY MASTERDATA SD &amp; SMP'!BP:BP,'QUERY MASTERDATA SD &amp; SMP'!$F:$F=$C$8,'QUERY MASTERDATA SD &amp; SMP'!$L:$L=$C$11,'QUERY MASTERDATA SD &amp; SMP'!$DO:$DO=$C$12)"),"#N/A")</f>
        <v>#N/A</v>
      </c>
      <c r="G29" s="18" t="str">
        <f ca="1">IFERROR(__xludf.DUMMYFUNCTION("FILTER('QUERY MASTERDATA SD &amp; SMP'!BQ:BQ,'QUERY MASTERDATA SD &amp; SMP'!$F:$F=$C$8,'QUERY MASTERDATA SD &amp; SMP'!$L:$L=$C$11,'QUERY MASTERDATA SD &amp; SMP'!$DO:$DO=$C$12)"),"#N/A")</f>
        <v>#N/A</v>
      </c>
      <c r="H29" s="19" t="e">
        <f t="shared" ca="1" si="0"/>
        <v>#NAME?</v>
      </c>
    </row>
    <row r="30" spans="1:8" ht="31.2" x14ac:dyDescent="0.3">
      <c r="A30" s="14">
        <v>15</v>
      </c>
      <c r="B30" s="15">
        <v>46057</v>
      </c>
      <c r="C30" s="16" t="s">
        <v>42</v>
      </c>
      <c r="D30" s="17" t="str">
        <f ca="1">IFERROR(__xludf.DUMMYFUNCTION("FILTER('QUERY MASTERDATA SD &amp; SMP'!BR:BR,'QUERY MASTERDATA SD &amp; SMP'!$F:$F=$C$8,'QUERY MASTERDATA SD &amp; SMP'!$L:$L=$C$11,'QUERY MASTERDATA SD &amp; SMP'!$DO:$DO=$C$12)"),"#N/A")</f>
        <v>#N/A</v>
      </c>
      <c r="E30" s="17" t="str">
        <f ca="1">IFERROR(__xludf.DUMMYFUNCTION("FILTER('QUERY MASTERDATA SD &amp; SMP'!BS:BS,'QUERY MASTERDATA SD &amp; SMP'!$F:$F=$C$8,'QUERY MASTERDATA SD &amp; SMP'!$L:$L=$C$11,'QUERY MASTERDATA SD &amp; SMP'!$DO:$DO=$C$12)"),"#N/A")</f>
        <v>#N/A</v>
      </c>
      <c r="F30" s="17" t="str">
        <f ca="1">IFERROR(__xludf.DUMMYFUNCTION("FILTER('QUERY MASTERDATA SD &amp; SMP'!BT:BT,'QUERY MASTERDATA SD &amp; SMP'!$F:$F=$C$8,'QUERY MASTERDATA SD &amp; SMP'!$L:$L=$C$11,'QUERY MASTERDATA SD &amp; SMP'!$DO:$DO=$C$12)"),"#N/A")</f>
        <v>#N/A</v>
      </c>
      <c r="G30" s="18" t="str">
        <f ca="1">IFERROR(__xludf.DUMMYFUNCTION("FILTER('QUERY MASTERDATA SD &amp; SMP'!BU:BU,'QUERY MASTERDATA SD &amp; SMP'!$F:$F=$C$8,'QUERY MASTERDATA SD &amp; SMP'!$L:$L=$C$11,'QUERY MASTERDATA SD &amp; SMP'!$DO:$DO=$C$12)"),"#N/A")</f>
        <v>#N/A</v>
      </c>
      <c r="H30" s="19" t="e">
        <f t="shared" ca="1" si="0"/>
        <v>#NAME?</v>
      </c>
    </row>
    <row r="31" spans="1:8" ht="31.2" x14ac:dyDescent="0.3">
      <c r="A31" s="20">
        <v>16</v>
      </c>
      <c r="B31" s="21">
        <v>46085</v>
      </c>
      <c r="C31" s="22" t="s">
        <v>43</v>
      </c>
      <c r="D31" s="17" t="str">
        <f ca="1">IFERROR(__xludf.DUMMYFUNCTION("FILTER('QUERY MASTERDATA SD &amp; SMP'!BV:BV,'QUERY MASTERDATA SD &amp; SMP'!$F:$F=$C$8,'QUERY MASTERDATA SD &amp; SMP'!$L:$L=$C$11,'QUERY MASTERDATA SD &amp; SMP'!$DO:$DO=$C$12)"),"#N/A")</f>
        <v>#N/A</v>
      </c>
      <c r="E31" s="17" t="str">
        <f ca="1">IFERROR(__xludf.DUMMYFUNCTION("FILTER('QUERY MASTERDATA SD &amp; SMP'!BW:BW,'QUERY MASTERDATA SD &amp; SMP'!$F:$F=$C$8,'QUERY MASTERDATA SD &amp; SMP'!$L:$L=$C$11,'QUERY MASTERDATA SD &amp; SMP'!$DO:$DO=$C$12)"),"#N/A")</f>
        <v>#N/A</v>
      </c>
      <c r="F31" s="17" t="str">
        <f ca="1">IFERROR(__xludf.DUMMYFUNCTION("FILTER('QUERY MASTERDATA SD &amp; SMP'!BX:BX,'QUERY MASTERDATA SD &amp; SMP'!$F:$F=$C$8,'QUERY MASTERDATA SD &amp; SMP'!$L:$L=$C$11,'QUERY MASTERDATA SD &amp; SMP'!$DO:$DO=$C$12)"),"#N/A")</f>
        <v>#N/A</v>
      </c>
      <c r="G31" s="18" t="str">
        <f ca="1">IFERROR(__xludf.DUMMYFUNCTION("FILTER('QUERY MASTERDATA SD &amp; SMP'!BY:BY,'QUERY MASTERDATA SD &amp; SMP'!$F:$F=$C$8,'QUERY MASTERDATA SD &amp; SMP'!$L:$L=$C$11,'QUERY MASTERDATA SD &amp; SMP'!$DO:$DO=$C$12)"),"#N/A")</f>
        <v>#N/A</v>
      </c>
      <c r="H31" s="19" t="e">
        <f t="shared" ca="1" si="0"/>
        <v>#NAME?</v>
      </c>
    </row>
    <row r="32" spans="1:8" ht="78" x14ac:dyDescent="0.3">
      <c r="A32" s="14">
        <v>17</v>
      </c>
      <c r="B32" s="15">
        <v>46027</v>
      </c>
      <c r="C32" s="16" t="s">
        <v>44</v>
      </c>
      <c r="D32" s="17" t="str">
        <f ca="1">IFERROR(__xludf.DUMMYFUNCTION("FILTER('QUERY MASTERDATA SD &amp; SMP'!BZ:BZ,'QUERY MASTERDATA SD &amp; SMP'!$F:$F=$C$8,'QUERY MASTERDATA SD &amp; SMP'!$L:$L=$C$11,'QUERY MASTERDATA SD &amp; SMP'!$DO:$DO=$C$12)"),"#N/A")</f>
        <v>#N/A</v>
      </c>
      <c r="E32" s="17" t="str">
        <f ca="1">IFERROR(__xludf.DUMMYFUNCTION("FILTER('QUERY MASTERDATA SD &amp; SMP'!CA:CA,'QUERY MASTERDATA SD &amp; SMP'!$F:$F=$C$8,'QUERY MASTERDATA SD &amp; SMP'!$L:$L=$C$11,'QUERY MASTERDATA SD &amp; SMP'!$DO:$DO=$C$12)"),"#N/A")</f>
        <v>#N/A</v>
      </c>
      <c r="F32" s="17" t="str">
        <f ca="1">IFERROR(__xludf.DUMMYFUNCTION("FILTER('QUERY MASTERDATA SD &amp; SMP'!CB:CB,'QUERY MASTERDATA SD &amp; SMP'!$F:$F=$C$8,'QUERY MASTERDATA SD &amp; SMP'!$L:$L=$C$11,'QUERY MASTERDATA SD &amp; SMP'!$DO:$DO=$C$12)"),"#N/A")</f>
        <v>#N/A</v>
      </c>
      <c r="G32" s="18" t="str">
        <f ca="1">IFERROR(__xludf.DUMMYFUNCTION("FILTER('QUERY MASTERDATA SD &amp; SMP'!CC:CC,'QUERY MASTERDATA SD &amp; SMP'!$F:$F=$C$8,'QUERY MASTERDATA SD &amp; SMP'!$L:$L=$C$11,'QUERY MASTERDATA SD &amp; SMP'!$DO:$DO=$C$12)"),"#N/A")</f>
        <v>#N/A</v>
      </c>
      <c r="H32" s="19" t="e">
        <f t="shared" ca="1" si="0"/>
        <v>#NAME?</v>
      </c>
    </row>
    <row r="33" spans="1:8" ht="46.8" x14ac:dyDescent="0.3">
      <c r="A33" s="20">
        <v>18</v>
      </c>
      <c r="B33" s="21">
        <v>46058</v>
      </c>
      <c r="C33" s="22" t="s">
        <v>45</v>
      </c>
      <c r="D33" s="17" t="str">
        <f ca="1">IFERROR(__xludf.DUMMYFUNCTION("FILTER('QUERY MASTERDATA SD &amp; SMP'!CD:CD,'QUERY MASTERDATA SD &amp; SMP'!$F:$F=$C$8,'QUERY MASTERDATA SD &amp; SMP'!$L:$L=$C$11,'QUERY MASTERDATA SD &amp; SMP'!$DO:$DO=$C$12)"),"#N/A")</f>
        <v>#N/A</v>
      </c>
      <c r="E33" s="17" t="str">
        <f ca="1">IFERROR(__xludf.DUMMYFUNCTION("FILTER('QUERY MASTERDATA SD &amp; SMP'!CE:CE,'QUERY MASTERDATA SD &amp; SMP'!$F:$F=$C$8,'QUERY MASTERDATA SD &amp; SMP'!$L:$L=$C$11,'QUERY MASTERDATA SD &amp; SMP'!$DO:$DO=$C$12)"),"#N/A")</f>
        <v>#N/A</v>
      </c>
      <c r="F33" s="17" t="str">
        <f ca="1">IFERROR(__xludf.DUMMYFUNCTION("FILTER('QUERY MASTERDATA SD &amp; SMP'!CF:CF,'QUERY MASTERDATA SD &amp; SMP'!$F:$F=$C$8,'QUERY MASTERDATA SD &amp; SMP'!$L:$L=$C$11,'QUERY MASTERDATA SD &amp; SMP'!$DO:$DO=$C$12)"),"#N/A")</f>
        <v>#N/A</v>
      </c>
      <c r="G33" s="18" t="str">
        <f ca="1">IFERROR(__xludf.DUMMYFUNCTION("FILTER('QUERY MASTERDATA SD &amp; SMP'!CG:CG,'QUERY MASTERDATA SD &amp; SMP'!$F:$F=$C$8,'QUERY MASTERDATA SD &amp; SMP'!$L:$L=$C$11,'QUERY MASTERDATA SD &amp; SMP'!$DO:$DO=$C$12)"),"#N/A")</f>
        <v>#N/A</v>
      </c>
      <c r="H33" s="19" t="e">
        <f t="shared" ca="1" si="0"/>
        <v>#NAME?</v>
      </c>
    </row>
    <row r="34" spans="1:8" ht="62.4" x14ac:dyDescent="0.3">
      <c r="A34" s="14">
        <v>19</v>
      </c>
      <c r="B34" s="15">
        <v>46086</v>
      </c>
      <c r="C34" s="16" t="s">
        <v>46</v>
      </c>
      <c r="D34" s="17" t="str">
        <f ca="1">IFERROR(__xludf.DUMMYFUNCTION("FILTER('QUERY MASTERDATA SD &amp; SMP'!CH:CH,'QUERY MASTERDATA SD &amp; SMP'!$F:$F=$C$8,'QUERY MASTERDATA SD &amp; SMP'!$L:$L=$C$11,'QUERY MASTERDATA SD &amp; SMP'!$DO:$DO=$C$12)"),"#N/A")</f>
        <v>#N/A</v>
      </c>
      <c r="E34" s="17" t="str">
        <f ca="1">IFERROR(__xludf.DUMMYFUNCTION("FILTER('QUERY MASTERDATA SD &amp; SMP'!CI:CI,'QUERY MASTERDATA SD &amp; SMP'!$F:$F=$C$8,'QUERY MASTERDATA SD &amp; SMP'!$L:$L=$C$11,'QUERY MASTERDATA SD &amp; SMP'!$DO:$DO=$C$12)"),"#N/A")</f>
        <v>#N/A</v>
      </c>
      <c r="F34" s="17" t="str">
        <f ca="1">IFERROR(__xludf.DUMMYFUNCTION("FILTER('QUERY MASTERDATA SD &amp; SMP'!CJ:CJ,'QUERY MASTERDATA SD &amp; SMP'!$F:$F=$C$8,'QUERY MASTERDATA SD &amp; SMP'!$L:$L=$C$11,'QUERY MASTERDATA SD &amp; SMP'!$DO:$DO=$C$12)"),"#N/A")</f>
        <v>#N/A</v>
      </c>
      <c r="G34" s="18" t="str">
        <f ca="1">IFERROR(__xludf.DUMMYFUNCTION("FILTER('QUERY MASTERDATA SD &amp; SMP'!CK:CK,'QUERY MASTERDATA SD &amp; SMP'!$F:$F=$C$8,'QUERY MASTERDATA SD &amp; SMP'!$L:$L=$C$11,'QUERY MASTERDATA SD &amp; SMP'!$DO:$DO=$C$12)"),"#N/A")</f>
        <v>#N/A</v>
      </c>
      <c r="H34" s="19" t="e">
        <f t="shared" ca="1" si="0"/>
        <v>#NAME?</v>
      </c>
    </row>
    <row r="35" spans="1:8" ht="46.8" x14ac:dyDescent="0.3">
      <c r="A35" s="20">
        <v>20</v>
      </c>
      <c r="B35" s="21">
        <v>46117</v>
      </c>
      <c r="C35" s="22" t="s">
        <v>47</v>
      </c>
      <c r="D35" s="17" t="str">
        <f ca="1">IFERROR(__xludf.DUMMYFUNCTION("FILTER('QUERY MASTERDATA SD &amp; SMP'!CL:CL,'QUERY MASTERDATA SD &amp; SMP'!$F:$F=$C$8,'QUERY MASTERDATA SD &amp; SMP'!$L:$L=$C$11,'QUERY MASTERDATA SD &amp; SMP'!$DO:$DO=$C$12)"),"#N/A")</f>
        <v>#N/A</v>
      </c>
      <c r="E35" s="17" t="str">
        <f ca="1">IFERROR(__xludf.DUMMYFUNCTION("FILTER('QUERY MASTERDATA SD &amp; SMP'!CM:CM,'QUERY MASTERDATA SD &amp; SMP'!$F:$F=$C$8,'QUERY MASTERDATA SD &amp; SMP'!$L:$L=$C$11,'QUERY MASTERDATA SD &amp; SMP'!$DO:$DO=$C$12)"),"#N/A")</f>
        <v>#N/A</v>
      </c>
      <c r="F35" s="17" t="str">
        <f ca="1">IFERROR(__xludf.DUMMYFUNCTION("FILTER('QUERY MASTERDATA SD &amp; SMP'!CN:CN,'QUERY MASTERDATA SD &amp; SMP'!$F:$F=$C$8,'QUERY MASTERDATA SD &amp; SMP'!$L:$L=$C$11,'QUERY MASTERDATA SD &amp; SMP'!$DO:$DO=$C$12)"),"#N/A")</f>
        <v>#N/A</v>
      </c>
      <c r="G35" s="18" t="str">
        <f ca="1">IFERROR(__xludf.DUMMYFUNCTION("FILTER('QUERY MASTERDATA SD &amp; SMP'!CO:CO,'QUERY MASTERDATA SD &amp; SMP'!$F:$F=$C$8,'QUERY MASTERDATA SD &amp; SMP'!$L:$L=$C$11,'QUERY MASTERDATA SD &amp; SMP'!$DO:$DO=$C$12)"),"#N/A")</f>
        <v>#N/A</v>
      </c>
      <c r="H35" s="19" t="e">
        <f t="shared" ca="1" si="0"/>
        <v>#NAME?</v>
      </c>
    </row>
    <row r="36" spans="1:8" ht="46.8" x14ac:dyDescent="0.3">
      <c r="A36" s="14">
        <v>21</v>
      </c>
      <c r="B36" s="15">
        <v>46147</v>
      </c>
      <c r="C36" s="16" t="s">
        <v>48</v>
      </c>
      <c r="D36" s="17" t="str">
        <f ca="1">IFERROR(__xludf.DUMMYFUNCTION("FILTER('QUERY MASTERDATA SD &amp; SMP'!CP:CP,'QUERY MASTERDATA SD &amp; SMP'!$F:$F=$C$8,'QUERY MASTERDATA SD &amp; SMP'!$L:$L=$C$11,'QUERY MASTERDATA SD &amp; SMP'!$DO:$DO=$C$12)"),"#N/A")</f>
        <v>#N/A</v>
      </c>
      <c r="E36" s="17" t="str">
        <f ca="1">IFERROR(__xludf.DUMMYFUNCTION("FILTER('QUERY MASTERDATA SD &amp; SMP'!CQ:CQ,'QUERY MASTERDATA SD &amp; SMP'!$F:$F=$C$8,'QUERY MASTERDATA SD &amp; SMP'!$L:$L=$C$11,'QUERY MASTERDATA SD &amp; SMP'!$DO:$DO=$C$12)"),"#N/A")</f>
        <v>#N/A</v>
      </c>
      <c r="F36" s="17" t="str">
        <f ca="1">IFERROR(__xludf.DUMMYFUNCTION("FILTER('QUERY MASTERDATA SD &amp; SMP'!CR:CR,'QUERY MASTERDATA SD &amp; SMP'!$F:$F=$C$8,'QUERY MASTERDATA SD &amp; SMP'!$L:$L=$C$11,'QUERY MASTERDATA SD &amp; SMP'!$DO:$DO=$C$12)"),"#N/A")</f>
        <v>#N/A</v>
      </c>
      <c r="G36" s="18" t="str">
        <f ca="1">IFERROR(__xludf.DUMMYFUNCTION("FILTER('QUERY MASTERDATA SD &amp; SMP'!CS:CS,'QUERY MASTERDATA SD &amp; SMP'!$F:$F=$C$8,'QUERY MASTERDATA SD &amp; SMP'!$L:$L=$C$11,'QUERY MASTERDATA SD &amp; SMP'!$DO:$DO=$C$12)"),"#N/A")</f>
        <v>#N/A</v>
      </c>
      <c r="H36" s="19" t="e">
        <f t="shared" ca="1" si="0"/>
        <v>#NAME?</v>
      </c>
    </row>
    <row r="37" spans="1:8" ht="31.2" x14ac:dyDescent="0.3">
      <c r="A37" s="20">
        <v>22</v>
      </c>
      <c r="B37" s="21">
        <v>46028</v>
      </c>
      <c r="C37" s="22" t="s">
        <v>49</v>
      </c>
      <c r="D37" s="17" t="str">
        <f ca="1">IFERROR(__xludf.DUMMYFUNCTION("FILTER('QUERY MASTERDATA SD &amp; SMP'!CT:CT,'QUERY MASTERDATA SD &amp; SMP'!$F:$F=$C$8,'QUERY MASTERDATA SD &amp; SMP'!$L:$L=$C$11,'QUERY MASTERDATA SD &amp; SMP'!$DO:$DO=$C$12)"),"#N/A")</f>
        <v>#N/A</v>
      </c>
      <c r="E37" s="17" t="str">
        <f ca="1">IFERROR(__xludf.DUMMYFUNCTION("FILTER('QUERY MASTERDATA SD &amp; SMP'!CU:CU,'QUERY MASTERDATA SD &amp; SMP'!$F:$F=$C$8,'QUERY MASTERDATA SD &amp; SMP'!$L:$L=$C$11,'QUERY MASTERDATA SD &amp; SMP'!$DO:$DO=$C$12)"),"#N/A")</f>
        <v>#N/A</v>
      </c>
      <c r="F37" s="17" t="str">
        <f ca="1">IFERROR(__xludf.DUMMYFUNCTION("FILTER('QUERY MASTERDATA SD &amp; SMP'!CV:CV,'QUERY MASTERDATA SD &amp; SMP'!$F:$F=$C$8,'QUERY MASTERDATA SD &amp; SMP'!$L:$L=$C$11,'QUERY MASTERDATA SD &amp; SMP'!$DO:$DO=$C$12)"),"#N/A")</f>
        <v>#N/A</v>
      </c>
      <c r="G37" s="18" t="str">
        <f ca="1">IFERROR(__xludf.DUMMYFUNCTION("FILTER('QUERY MASTERDATA SD &amp; SMP'!CW:CW,'QUERY MASTERDATA SD &amp; SMP'!$F:$F=$C$8,'QUERY MASTERDATA SD &amp; SMP'!$L:$L=$C$11,'QUERY MASTERDATA SD &amp; SMP'!$DO:$DO=$C$12)"),"#N/A")</f>
        <v>#N/A</v>
      </c>
      <c r="H37" s="19" t="e">
        <f t="shared" ca="1" si="0"/>
        <v>#NAME?</v>
      </c>
    </row>
    <row r="38" spans="1:8" ht="31.2" x14ac:dyDescent="0.3">
      <c r="A38" s="14">
        <v>23</v>
      </c>
      <c r="B38" s="15">
        <v>46059</v>
      </c>
      <c r="C38" s="16" t="s">
        <v>50</v>
      </c>
      <c r="D38" s="17" t="str">
        <f ca="1">IFERROR(__xludf.DUMMYFUNCTION("FILTER('QUERY MASTERDATA SD &amp; SMP'!CX:CX,'QUERY MASTERDATA SD &amp; SMP'!$F:$F=$C$8,'QUERY MASTERDATA SD &amp; SMP'!$L:$L=$C$11,'QUERY MASTERDATA SD &amp; SMP'!$DO:$DO=$C$12)"),"#N/A")</f>
        <v>#N/A</v>
      </c>
      <c r="E38" s="17" t="str">
        <f ca="1">IFERROR(__xludf.DUMMYFUNCTION("FILTER('QUERY MASTERDATA SD &amp; SMP'!CY:CY,'QUERY MASTERDATA SD &amp; SMP'!$F:$F=$C$8,'QUERY MASTERDATA SD &amp; SMP'!$L:$L=$C$11,'QUERY MASTERDATA SD &amp; SMP'!$DO:$DO=$C$12)"),"#N/A")</f>
        <v>#N/A</v>
      </c>
      <c r="F38" s="17" t="str">
        <f ca="1">IFERROR(__xludf.DUMMYFUNCTION("FILTER('QUERY MASTERDATA SD &amp; SMP'!CZ:CZ,'QUERY MASTERDATA SD &amp; SMP'!$F:$F=$C$8,'QUERY MASTERDATA SD &amp; SMP'!$L:$L=$C$11,'QUERY MASTERDATA SD &amp; SMP'!$DO:$DO=$C$12)"),"#N/A")</f>
        <v>#N/A</v>
      </c>
      <c r="G38" s="18" t="str">
        <f ca="1">IFERROR(__xludf.DUMMYFUNCTION("FILTER('QUERY MASTERDATA SD &amp; SMP'!DA:DA,'QUERY MASTERDATA SD &amp; SMP'!$F:$F=$C$8,'QUERY MASTERDATA SD &amp; SMP'!$L:$L=$C$11,'QUERY MASTERDATA SD &amp; SMP'!$DO:$DO=$C$12)"),"#N/A")</f>
        <v>#N/A</v>
      </c>
      <c r="H38" s="19" t="e">
        <f t="shared" ca="1" si="0"/>
        <v>#NAME?</v>
      </c>
    </row>
    <row r="39" spans="1:8" ht="31.2" x14ac:dyDescent="0.3">
      <c r="A39" s="20">
        <v>24</v>
      </c>
      <c r="B39" s="21">
        <v>46087</v>
      </c>
      <c r="C39" s="22" t="s">
        <v>51</v>
      </c>
      <c r="D39" s="17" t="str">
        <f ca="1">IFERROR(__xludf.DUMMYFUNCTION("FILTER('QUERY MASTERDATA SD &amp; SMP'!DB:DB,'QUERY MASTERDATA SD &amp; SMP'!$F:$F=$C$8,'QUERY MASTERDATA SD &amp; SMP'!$L:$L=$C$11,'QUERY MASTERDATA SD &amp; SMP'!$DO:$DO=$C$12)"),"#N/A")</f>
        <v>#N/A</v>
      </c>
      <c r="E39" s="17" t="str">
        <f ca="1">IFERROR(__xludf.DUMMYFUNCTION("FILTER('QUERY MASTERDATA SD &amp; SMP'!DC:DC,'QUERY MASTERDATA SD &amp; SMP'!$F:$F=$C$8,'QUERY MASTERDATA SD &amp; SMP'!$L:$L=$C$11,'QUERY MASTERDATA SD &amp; SMP'!$DO:$DO=$C$12)"),"#N/A")</f>
        <v>#N/A</v>
      </c>
      <c r="F39" s="17" t="str">
        <f ca="1">IFERROR(__xludf.DUMMYFUNCTION("FILTER('QUERY MASTERDATA SD &amp; SMP'!DD:DD,'QUERY MASTERDATA SD &amp; SMP'!$F:$F=$C$8,'QUERY MASTERDATA SD &amp; SMP'!$L:$L=$C$11,'QUERY MASTERDATA SD &amp; SMP'!$DO:$DO=$C$12)"),"#N/A")</f>
        <v>#N/A</v>
      </c>
      <c r="G39" s="18" t="str">
        <f ca="1">IFERROR(__xludf.DUMMYFUNCTION("FILTER('QUERY MASTERDATA SD &amp; SMP'!DE:DE,'QUERY MASTERDATA SD &amp; SMP'!$F:$F=$C$8,'QUERY MASTERDATA SD &amp; SMP'!$L:$L=$C$11,'QUERY MASTERDATA SD &amp; SMP'!$DO:$DO=$C$12)"),"#N/A")</f>
        <v>#N/A</v>
      </c>
      <c r="H39" s="19" t="e">
        <f t="shared" ca="1" si="0"/>
        <v>#NAME?</v>
      </c>
    </row>
    <row r="40" spans="1:8" ht="31.2" x14ac:dyDescent="0.3">
      <c r="A40" s="14">
        <v>25</v>
      </c>
      <c r="B40" s="15">
        <v>46118</v>
      </c>
      <c r="C40" s="16" t="s">
        <v>52</v>
      </c>
      <c r="D40" s="17" t="str">
        <f ca="1">IFERROR(__xludf.DUMMYFUNCTION("FILTER('QUERY MASTERDATA SD &amp; SMP'!DF:DF,'QUERY MASTERDATA SD &amp; SMP'!$F:$F=$C$8,'QUERY MASTERDATA SD &amp; SMP'!$L:$L=$C$11,'QUERY MASTERDATA SD &amp; SMP'!$DO:$DO=$C$12)"),"#N/A")</f>
        <v>#N/A</v>
      </c>
      <c r="E40" s="17" t="str">
        <f ca="1">IFERROR(__xludf.DUMMYFUNCTION("FILTER('QUERY MASTERDATA SD &amp; SMP'!DG:DG,'QUERY MASTERDATA SD &amp; SMP'!$F:$F=$C$8,'QUERY MASTERDATA SD &amp; SMP'!$L:$L=$C$11,'QUERY MASTERDATA SD &amp; SMP'!$DO:$DO=$C$12)"),"#N/A")</f>
        <v>#N/A</v>
      </c>
      <c r="F40" s="17" t="str">
        <f ca="1">IFERROR(__xludf.DUMMYFUNCTION("FILTER('QUERY MASTERDATA SD &amp; SMP'!DH:DH,'QUERY MASTERDATA SD &amp; SMP'!$F:$F=$C$8,'QUERY MASTERDATA SD &amp; SMP'!$L:$L=$C$11,'QUERY MASTERDATA SD &amp; SMP'!$DO:$DO=$C$12)"),"#N/A")</f>
        <v>#N/A</v>
      </c>
      <c r="G40" s="18" t="str">
        <f ca="1">IFERROR(__xludf.DUMMYFUNCTION("FILTER('QUERY MASTERDATA SD &amp; SMP'!DI:DI,'QUERY MASTERDATA SD &amp; SMP'!$F:$F=$C$8,'QUERY MASTERDATA SD &amp; SMP'!$L:$L=$C$11,'QUERY MASTERDATA SD &amp; SMP'!$DO:$DO=$C$12)"),"#N/A")</f>
        <v>#N/A</v>
      </c>
      <c r="H40" s="19" t="e">
        <f t="shared" ca="1" si="0"/>
        <v>#NAME?</v>
      </c>
    </row>
    <row r="41" spans="1:8" ht="46.8" x14ac:dyDescent="0.3">
      <c r="A41" s="20">
        <v>26</v>
      </c>
      <c r="B41" s="21">
        <v>46148</v>
      </c>
      <c r="C41" s="22" t="s">
        <v>53</v>
      </c>
      <c r="D41" s="17" t="str">
        <f ca="1">IFERROR(__xludf.DUMMYFUNCTION("FILTER('QUERY MASTERDATA SD &amp; SMP'!DJ:DJ,'QUERY MASTERDATA SD &amp; SMP'!$F:$F=$C$8,'QUERY MASTERDATA SD &amp; SMP'!$L:$L=$C$11,'QUERY MASTERDATA SD &amp; SMP'!$DO:$DO=$C$12)"),"#N/A")</f>
        <v>#N/A</v>
      </c>
      <c r="E41" s="17" t="str">
        <f ca="1">IFERROR(__xludf.DUMMYFUNCTION("FILTER('QUERY MASTERDATA SD &amp; SMP'!DK:DK,'QUERY MASTERDATA SD &amp; SMP'!$F:$F=$C$8,'QUERY MASTERDATA SD &amp; SMP'!$L:$L=$C$11,'QUERY MASTERDATA SD &amp; SMP'!$DO:$DO=$C$12)"),"#N/A")</f>
        <v>#N/A</v>
      </c>
      <c r="F41" s="17" t="str">
        <f ca="1">IFERROR(__xludf.DUMMYFUNCTION("FILTER('QUERY MASTERDATA SD &amp; SMP'!DL:DL,'QUERY MASTERDATA SD &amp; SMP'!$F:$F=$C$8,'QUERY MASTERDATA SD &amp; SMP'!$L:$L=$C$11,'QUERY MASTERDATA SD &amp; SMP'!$DO:$DO=$C$12)"),"#N/A")</f>
        <v>#N/A</v>
      </c>
      <c r="G41" s="18" t="str">
        <f ca="1">IFERROR(__xludf.DUMMYFUNCTION("FILTER('QUERY MASTERDATA SD &amp; SMP'!DM:DM,'QUERY MASTERDATA SD &amp; SMP'!$F:$F=$C$8,'QUERY MASTERDATA SD &amp; SMP'!$L:$L=$C$11,'QUERY MASTERDATA SD &amp; SMP'!$DO:$DO=$C$12)"),"#N/A")</f>
        <v>#N/A</v>
      </c>
      <c r="H41" s="19" t="e">
        <f t="shared" ca="1" si="0"/>
        <v>#NAME?</v>
      </c>
    </row>
    <row r="42" spans="1:8" ht="15.6" x14ac:dyDescent="0.3">
      <c r="A42" s="19"/>
      <c r="B42" s="19"/>
      <c r="C42" s="23" t="s">
        <v>54</v>
      </c>
      <c r="D42" s="24" t="e">
        <f t="shared" ref="D42:F42" ca="1" si="1">ROUND(AVERAGE(D3:D41),2)</f>
        <v>#DIV/0!</v>
      </c>
      <c r="E42" s="24" t="e">
        <f t="shared" ca="1" si="1"/>
        <v>#DIV/0!</v>
      </c>
      <c r="F42" s="24" t="e">
        <f t="shared" ca="1" si="1"/>
        <v>#DIV/0!</v>
      </c>
      <c r="G42" s="19"/>
      <c r="H42" s="19"/>
    </row>
    <row r="43" spans="1:8" x14ac:dyDescent="0.3">
      <c r="A43" s="25"/>
      <c r="B43" s="25"/>
      <c r="C43" s="26"/>
      <c r="D43" s="25"/>
      <c r="E43" s="25"/>
      <c r="F43" s="25"/>
      <c r="G43" s="25"/>
      <c r="H43" s="25"/>
    </row>
    <row r="44" spans="1:8" x14ac:dyDescent="0.3">
      <c r="A44" s="25"/>
      <c r="B44" s="25"/>
      <c r="C44" s="26"/>
      <c r="D44" s="25"/>
      <c r="E44" s="25"/>
      <c r="F44" s="25"/>
      <c r="G44" s="25"/>
      <c r="H44" s="25"/>
    </row>
    <row r="45" spans="1:8" x14ac:dyDescent="0.3">
      <c r="A45" s="25"/>
      <c r="B45" s="25"/>
      <c r="C45" s="26"/>
      <c r="D45" s="25"/>
      <c r="E45" s="25"/>
      <c r="F45" s="25"/>
      <c r="G45" s="25"/>
      <c r="H45" s="25"/>
    </row>
    <row r="46" spans="1:8" ht="15.6" x14ac:dyDescent="0.3">
      <c r="A46" s="26"/>
      <c r="B46" s="26"/>
      <c r="C46" s="26"/>
      <c r="D46" s="27" t="s">
        <v>55</v>
      </c>
      <c r="E46" s="26"/>
      <c r="F46" s="25"/>
      <c r="G46" s="25"/>
      <c r="H46" s="25"/>
    </row>
    <row r="47" spans="1:8" ht="15.6" x14ac:dyDescent="0.3">
      <c r="A47" s="27" t="s">
        <v>56</v>
      </c>
      <c r="B47" s="26"/>
      <c r="C47" s="26"/>
      <c r="D47" s="27" t="s">
        <v>57</v>
      </c>
      <c r="E47" s="26"/>
      <c r="F47" s="25"/>
      <c r="G47" s="25"/>
      <c r="H47" s="25"/>
    </row>
    <row r="48" spans="1:8" ht="15.6" x14ac:dyDescent="0.3">
      <c r="A48" s="27" t="s">
        <v>8</v>
      </c>
      <c r="B48" s="26"/>
      <c r="C48" s="26"/>
      <c r="D48" s="27" t="str">
        <f>"Kepala "&amp;C8</f>
        <v>Kepala UPT SPF SMP NEGERI 1 LUBUK PAKAM</v>
      </c>
      <c r="E48" s="26"/>
      <c r="F48" s="25"/>
      <c r="G48" s="25"/>
      <c r="H48" s="25"/>
    </row>
    <row r="49" spans="1:8" x14ac:dyDescent="0.3">
      <c r="A49" s="26"/>
      <c r="B49" s="26"/>
      <c r="C49" s="26"/>
      <c r="D49" s="26"/>
      <c r="E49" s="26"/>
      <c r="F49" s="25"/>
      <c r="G49" s="25"/>
      <c r="H49" s="25"/>
    </row>
    <row r="50" spans="1:8" x14ac:dyDescent="0.3">
      <c r="A50" s="26"/>
      <c r="B50" s="26"/>
      <c r="C50" s="26"/>
      <c r="D50" s="26"/>
      <c r="E50" s="26"/>
      <c r="F50" s="25"/>
      <c r="G50" s="25"/>
      <c r="H50" s="25"/>
    </row>
    <row r="51" spans="1:8" x14ac:dyDescent="0.3">
      <c r="A51" s="26"/>
      <c r="B51" s="26"/>
      <c r="C51" s="26"/>
      <c r="D51" s="26"/>
      <c r="E51" s="26"/>
      <c r="F51" s="25"/>
      <c r="G51" s="25"/>
      <c r="H51" s="25"/>
    </row>
    <row r="52" spans="1:8" ht="15.6" x14ac:dyDescent="0.3">
      <c r="A52" s="28" t="str">
        <f>C7</f>
        <v>SUMARTI NINGSIH, S.Pd., M.Pd</v>
      </c>
      <c r="B52" s="26"/>
      <c r="C52" s="26"/>
      <c r="D52" s="28" t="str">
        <f>C10</f>
        <v>AHMAD AFFANDI, S.T.,M.Si</v>
      </c>
      <c r="E52" s="26"/>
      <c r="F52" s="25"/>
      <c r="G52" s="25"/>
      <c r="H52" s="25"/>
    </row>
    <row r="53" spans="1:8" ht="15.6" x14ac:dyDescent="0.3">
      <c r="A53" s="28" t="s">
        <v>58</v>
      </c>
      <c r="B53" s="26"/>
      <c r="C53" s="26"/>
      <c r="D53" s="28" t="s">
        <v>58</v>
      </c>
      <c r="E53" s="26"/>
      <c r="F53" s="25"/>
      <c r="G53" s="25"/>
      <c r="H53" s="25"/>
    </row>
    <row r="54" spans="1:8" x14ac:dyDescent="0.3">
      <c r="C54" s="1"/>
    </row>
  </sheetData>
  <mergeCells count="4">
    <mergeCell ref="A1:H1"/>
    <mergeCell ref="A2:H2"/>
    <mergeCell ref="A4:B4"/>
    <mergeCell ref="A14:C14"/>
  </mergeCells>
  <dataValidations count="8">
    <dataValidation type="list" allowBlank="1" showErrorMessage="1" sqref="C5" xr:uid="{AEC58F76-3E17-466D-9095-4EAA2326A635}">
      <formula1>"SD,SMP"</formula1>
    </dataValidation>
    <dataValidation type="list" allowBlank="1" showErrorMessage="1" sqref="C9" xr:uid="{5254F335-E9C3-45F4-BBB2-E2AAC58836D2}">
      <formula1>$S:$S</formula1>
    </dataValidation>
    <dataValidation type="list" allowBlank="1" showErrorMessage="1" sqref="C7" xr:uid="{E6AE1E6D-CE9C-4362-990F-FB735F2914E6}">
      <formula1>$O:$O</formula1>
    </dataValidation>
    <dataValidation type="list" allowBlank="1" showErrorMessage="1" sqref="C10" xr:uid="{2A2B34CE-187A-4666-A247-FA7590D58ECE}">
      <formula1>$U:$U</formula1>
    </dataValidation>
    <dataValidation type="list" allowBlank="1" showErrorMessage="1" sqref="C11" xr:uid="{44B32E4C-44E9-4208-8166-9F09C7BFDC0B}">
      <formula1>$W:$W</formula1>
    </dataValidation>
    <dataValidation type="list" allowBlank="1" showErrorMessage="1" sqref="C12" xr:uid="{E2F6FE68-D6FF-4342-9C33-B34E50D9C0AF}">
      <formula1>$AC:$AC</formula1>
    </dataValidation>
    <dataValidation type="list" allowBlank="1" showErrorMessage="1" sqref="C8" xr:uid="{AD1233BA-D132-431D-A4E5-4E545EC2361E}">
      <formula1>$Q:$Q</formula1>
    </dataValidation>
    <dataValidation type="list" allowBlank="1" showErrorMessage="1" sqref="C6" xr:uid="{53AEFD07-7952-4382-86CB-5F2F7B579E54}">
      <formula1>$M:$M</formula1>
    </dataValidation>
  </dataValidations>
  <hyperlinks>
    <hyperlink ref="C10" r:id="rId1" xr:uid="{E24025B6-F0BC-439C-A513-DC65EB4736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F102-39D0-4532-8ABE-1B7F855FEBFD}">
  <dimension ref="A1:EY10"/>
  <sheetViews>
    <sheetView workbookViewId="0">
      <selection activeCell="F19" sqref="F19"/>
    </sheetView>
  </sheetViews>
  <sheetFormatPr defaultRowHeight="14.4" x14ac:dyDescent="0.3"/>
  <sheetData>
    <row r="1" spans="1:155" ht="98.25" customHeight="1" x14ac:dyDescent="0.3">
      <c r="A1" s="29" t="str">
        <f ca="1">IFERROR(__xludf.DUMMYFUNCTION("QUERY({'1.BP'!A:DN
;'2.BK'!A:DN
;'3.BR'!A:DN
;'4.BB'!A:DN
;'5.DT'!A:DN
;'6.GL'!A:DN
;'7.GM'!A:DN
;'8.HP'!A:DN
;'9.KT'!A:DN
;'10.LD'!A:DN
;'11.LP'!A:DN
;'12.NM'!A:DN
;'13.PM'!A:DN
;'14.PB'!A:DN
;'15.PL()'!A:DN
;'16.PT'!A:DN
;'17.PS'!A:DN
;'18.SB'!A:DN
;'19"&amp;".STMR'!A:DN
;'20.STMU'!A:DN
;'21.SG'!A:DN
;'22.TM'!A:DN
},""SELECT * WHERE Col1 IS NOT NULL"",1)"),"Timestamp")</f>
        <v>Timestamp</v>
      </c>
      <c r="B1" s="29" t="str">
        <f ca="1">IFERROR(__xludf.DUMMYFUNCTION("""COMPUTED_VALUE"""),"Email Address")</f>
        <v>Email Address</v>
      </c>
      <c r="C1" s="29" t="str">
        <f ca="1">IFERROR(__xludf.DUMMYFUNCTION("""COMPUTED_VALUE"""),"NPSN")</f>
        <v>NPSN</v>
      </c>
      <c r="D1" s="29" t="str">
        <f ca="1">IFERROR(__xludf.DUMMYFUNCTION("""COMPUTED_VALUE"""),"Kecamatan")</f>
        <v>Kecamatan</v>
      </c>
      <c r="E1" s="29" t="str">
        <f ca="1">IFERROR(__xludf.DUMMYFUNCTION("""COMPUTED_VALUE"""),"JENJANG SEKOLAH")</f>
        <v>JENJANG SEKOLAH</v>
      </c>
      <c r="F1" s="29" t="str">
        <f ca="1">IFERROR(__xludf.DUMMYFUNCTION("""COMPUTED_VALUE"""),"NAMA SEKOLAH")</f>
        <v>NAMA SEKOLAH</v>
      </c>
      <c r="G1" s="29" t="str">
        <f ca="1">IFERROR(__xludf.DUMMYFUNCTION("""COMPUTED_VALUE"""),"NAMA PENGAWAS")</f>
        <v>NAMA PENGAWAS</v>
      </c>
      <c r="H1" s="29" t="str">
        <f ca="1">IFERROR(__xludf.DUMMYFUNCTION("""COMPUTED_VALUE"""),"Nomor HP Pengawas")</f>
        <v>Nomor HP Pengawas</v>
      </c>
      <c r="I1" s="29" t="str">
        <f ca="1">IFERROR(__xludf.DUMMYFUNCTION("""COMPUTED_VALUE"""),"NAMA KEPALA SEKOLAH")</f>
        <v>NAMA KEPALA SEKOLAH</v>
      </c>
      <c r="J1" s="29" t="str">
        <f ca="1">IFERROR(__xludf.DUMMYFUNCTION("""COMPUTED_VALUE"""),"Nomor HP Kepala Sekolah")</f>
        <v>Nomor HP Kepala Sekolah</v>
      </c>
      <c r="K1" s="29" t="str">
        <f ca="1">IFERROR(__xludf.DUMMYFUNCTION("""COMPUTED_VALUE"""),"Periode Penilaian")</f>
        <v>Periode Penilaian</v>
      </c>
      <c r="L1" s="29" t="str">
        <f ca="1">IFERROR(__xludf.DUMMYFUNCTION("""COMPUTED_VALUE"""),"Bulan")</f>
        <v>Bulan</v>
      </c>
      <c r="M1" s="29" t="str">
        <f ca="1">IFERROR(__xludf.DUMMYFUNCTION("""COMPUTED_VALUE"""),"Minggu")</f>
        <v>Minggu</v>
      </c>
      <c r="N1" s="29" t="str">
        <f ca="1">IFERROR(__xludf.DUMMYFUNCTION("""COMPUTED_VALUE"""),"1.1 Kebersihan Lingkungan Satuan Pendidikan [Baseline]")</f>
        <v>1.1 Kebersihan Lingkungan Satuan Pendidikan [Baseline]</v>
      </c>
      <c r="O1" s="29" t="str">
        <f ca="1">IFERROR(__xludf.DUMMYFUNCTION("""COMPUTED_VALUE"""),"1.1 Kebersihan Lingkungan Satuan Pendidikan [Target]")</f>
        <v>1.1 Kebersihan Lingkungan Satuan Pendidikan [Target]</v>
      </c>
      <c r="P1" s="29" t="str">
        <f ca="1">IFERROR(__xludf.DUMMYFUNCTION("""COMPUTED_VALUE"""),"1.1 Kebersihan Lingkungan Satuan Pendidikan [Capaian]")</f>
        <v>1.1 Kebersihan Lingkungan Satuan Pendidikan [Capaian]</v>
      </c>
      <c r="Q1" s="29" t="str">
        <f ca="1">IFERROR(__xludf.DUMMYFUNCTION("""COMPUTED_VALUE"""),"Link Dokumentasi 1.1 Kebersihan Lingkungan Satuan Pendidikan")</f>
        <v>Link Dokumentasi 1.1 Kebersihan Lingkungan Satuan Pendidikan</v>
      </c>
      <c r="R1" s="29" t="str">
        <f ca="1">IFERROR(__xludf.DUMMYFUNCTION("""COMPUTED_VALUE"""),"1.2  Kebersihan Lingkungan Belajar [Baseline]")</f>
        <v>1.2  Kebersihan Lingkungan Belajar [Baseline]</v>
      </c>
      <c r="S1" s="29" t="str">
        <f ca="1">IFERROR(__xludf.DUMMYFUNCTION("""COMPUTED_VALUE"""),"1.2  Kebersihan Lingkungan Belajar [Target]")</f>
        <v>1.2  Kebersihan Lingkungan Belajar [Target]</v>
      </c>
      <c r="T1" s="29" t="str">
        <f ca="1">IFERROR(__xludf.DUMMYFUNCTION("""COMPUTED_VALUE"""),"1.2  Kebersihan Lingkungan Belajar [Capaian]")</f>
        <v>1.2  Kebersihan Lingkungan Belajar [Capaian]</v>
      </c>
      <c r="U1" s="29" t="str">
        <f ca="1">IFERROR(__xludf.DUMMYFUNCTION("""COMPUTED_VALUE"""),"Link Dokumentasi 1.2  Kebersihan Lingkungan Belajar")</f>
        <v>Link Dokumentasi 1.2  Kebersihan Lingkungan Belajar</v>
      </c>
      <c r="V1" s="29" t="str">
        <f ca="1">IFERROR(__xludf.DUMMYFUNCTION("""COMPUTED_VALUE"""),"1.3   Kelengkapan Sanitasi dan Kebersihan Kamar Mandi [Baseline]")</f>
        <v>1.3   Kelengkapan Sanitasi dan Kebersihan Kamar Mandi [Baseline]</v>
      </c>
      <c r="W1" s="29" t="str">
        <f ca="1">IFERROR(__xludf.DUMMYFUNCTION("""COMPUTED_VALUE"""),"1.3   Kelengkapan Sanitasi dan Kebersihan Kamar Mandi [Target]")</f>
        <v>1.3   Kelengkapan Sanitasi dan Kebersihan Kamar Mandi [Target]</v>
      </c>
      <c r="X1" s="29" t="str">
        <f ca="1">IFERROR(__xludf.DUMMYFUNCTION("""COMPUTED_VALUE"""),"1.3   Kelengkapan Sanitasi dan Kebersihan Kamar Mandi [Capaian]")</f>
        <v>1.3   Kelengkapan Sanitasi dan Kebersihan Kamar Mandi [Capaian]</v>
      </c>
      <c r="Y1" s="29" t="str">
        <f ca="1">IFERROR(__xludf.DUMMYFUNCTION("""COMPUTED_VALUE"""),"Link Dokumentasi  1.3   Kelengkapan Sanitasi dan Kebersihan Kamar Mandi")</f>
        <v>Link Dokumentasi  1.3   Kelengkapan Sanitasi dan Kebersihan Kamar Mandi</v>
      </c>
      <c r="Z1" s="29" t="str">
        <f ca="1">IFERROR(__xludf.DUMMYFUNCTION("""COMPUTED_VALUE"""),"1.4  Kerindangan dan Apotik Hidup Sekolah [Baseline]")</f>
        <v>1.4  Kerindangan dan Apotik Hidup Sekolah [Baseline]</v>
      </c>
      <c r="AA1" s="29" t="str">
        <f ca="1">IFERROR(__xludf.DUMMYFUNCTION("""COMPUTED_VALUE"""),"1.4  Kerindangan dan Apotik Hidup Sekolah [Target]")</f>
        <v>1.4  Kerindangan dan Apotik Hidup Sekolah [Target]</v>
      </c>
      <c r="AB1" s="29" t="str">
        <f ca="1">IFERROR(__xludf.DUMMYFUNCTION("""COMPUTED_VALUE"""),"1.4  Kerindangan dan Apotik Hidup Sekolah [Capaian]")</f>
        <v>1.4  Kerindangan dan Apotik Hidup Sekolah [Capaian]</v>
      </c>
      <c r="AC1" s="29" t="str">
        <f ca="1">IFERROR(__xludf.DUMMYFUNCTION("""COMPUTED_VALUE"""),"Link Dokumentasi 1.4  Kerindangan dan Apotik Hidup Sekolah")</f>
        <v>Link Dokumentasi 1.4  Kerindangan dan Apotik Hidup Sekolah</v>
      </c>
      <c r="AD1" s="29" t="str">
        <f ca="1">IFERROR(__xludf.DUMMYFUNCTION("""COMPUTED_VALUE"""),"1.5  Mewujudkan Sekolah Adiwiyata [Baseline]")</f>
        <v>1.5  Mewujudkan Sekolah Adiwiyata [Baseline]</v>
      </c>
      <c r="AE1" s="29" t="str">
        <f ca="1">IFERROR(__xludf.DUMMYFUNCTION("""COMPUTED_VALUE"""),"1.5  Mewujudkan Sekolah Adiwiyata [Target]")</f>
        <v>1.5  Mewujudkan Sekolah Adiwiyata [Target]</v>
      </c>
      <c r="AF1" s="29" t="str">
        <f ca="1">IFERROR(__xludf.DUMMYFUNCTION("""COMPUTED_VALUE"""),"1.5  Mewujudkan Sekolah Adiwiyata [Capaian]")</f>
        <v>1.5  Mewujudkan Sekolah Adiwiyata [Capaian]</v>
      </c>
      <c r="AG1" s="29" t="str">
        <f ca="1">IFERROR(__xludf.DUMMYFUNCTION("""COMPUTED_VALUE"""),"Link Dokumentasi 1.5 Mewujudkan Sekolah Adiwiyata")</f>
        <v>Link Dokumentasi 1.5 Mewujudkan Sekolah Adiwiyata</v>
      </c>
      <c r="AH1" s="29" t="str">
        <f ca="1">IFERROR(__xludf.DUMMYFUNCTION("""COMPUTED_VALUE"""),"1.6   Mewujudkan sekolah dan kantin Sehat [Baseline]")</f>
        <v>1.6   Mewujudkan sekolah dan kantin Sehat [Baseline]</v>
      </c>
      <c r="AI1" s="29" t="str">
        <f ca="1">IFERROR(__xludf.DUMMYFUNCTION("""COMPUTED_VALUE"""),"1.6   Mewujudkan sekolah dan kantin Sehat [Target]")</f>
        <v>1.6   Mewujudkan sekolah dan kantin Sehat [Target]</v>
      </c>
      <c r="AJ1" s="29" t="str">
        <f ca="1">IFERROR(__xludf.DUMMYFUNCTION("""COMPUTED_VALUE"""),"1.6   Mewujudkan sekolah dan kantin Sehat [Capaian]")</f>
        <v>1.6   Mewujudkan sekolah dan kantin Sehat [Capaian]</v>
      </c>
      <c r="AK1" s="29" t="str">
        <f ca="1">IFERROR(__xludf.DUMMYFUNCTION("""COMPUTED_VALUE"""),"Link Dokumentasi 1.6  Mewujudkan sekolah dan kantin Sehat")</f>
        <v>Link Dokumentasi 1.6  Mewujudkan sekolah dan kantin Sehat</v>
      </c>
      <c r="AL1" s="29" t="str">
        <f ca="1">IFERROR(__xludf.DUMMYFUNCTION("""COMPUTED_VALUE"""),"2.1  Ketersediaan Tong Sampah Sesuai Peruntukan  [Baseline]")</f>
        <v>2.1  Ketersediaan Tong Sampah Sesuai Peruntukan  [Baseline]</v>
      </c>
      <c r="AM1" s="29" t="str">
        <f ca="1">IFERROR(__xludf.DUMMYFUNCTION("""COMPUTED_VALUE"""),"2.1  Ketersediaan Tong Sampah Sesuai Peruntukan  [Target]")</f>
        <v>2.1  Ketersediaan Tong Sampah Sesuai Peruntukan  [Target]</v>
      </c>
      <c r="AN1" s="29" t="str">
        <f ca="1">IFERROR(__xludf.DUMMYFUNCTION("""COMPUTED_VALUE"""),"2.1  Ketersediaan Tong Sampah Sesuai Peruntukan  [Capaian]")</f>
        <v>2.1  Ketersediaan Tong Sampah Sesuai Peruntukan  [Capaian]</v>
      </c>
      <c r="AO1" s="29" t="str">
        <f ca="1">IFERROR(__xludf.DUMMYFUNCTION("""COMPUTED_VALUE"""),"Link Dokumentasi 2.1 Ketersediaan Tong Sampah Sesuai Peruntukan")</f>
        <v>Link Dokumentasi 2.1 Ketersediaan Tong Sampah Sesuai Peruntukan</v>
      </c>
      <c r="AP1" s="29" t="str">
        <f ca="1">IFERROR(__xludf.DUMMYFUNCTION("""COMPUTED_VALUE"""),"2.2  Pengelolaan bank Sampah [Baseline]")</f>
        <v>2.2  Pengelolaan bank Sampah [Baseline]</v>
      </c>
      <c r="AQ1" s="29" t="str">
        <f ca="1">IFERROR(__xludf.DUMMYFUNCTION("""COMPUTED_VALUE"""),"2.2  Pengelolaan bank Sampah [Target]")</f>
        <v>2.2  Pengelolaan bank Sampah [Target]</v>
      </c>
      <c r="AR1" s="29" t="str">
        <f ca="1">IFERROR(__xludf.DUMMYFUNCTION("""COMPUTED_VALUE"""),"2.2  Pengelolaan bank Sampah [Capaian]")</f>
        <v>2.2  Pengelolaan bank Sampah [Capaian]</v>
      </c>
      <c r="AS1" s="29" t="str">
        <f ca="1">IFERROR(__xludf.DUMMYFUNCTION("""COMPUTED_VALUE"""),"Link Dokumentasi  2.2  Pengelolaan bank Sampah")</f>
        <v>Link Dokumentasi  2.2  Pengelolaan bank Sampah</v>
      </c>
      <c r="AT1" s="29" t="str">
        <f ca="1">IFERROR(__xludf.DUMMYFUNCTION("""COMPUTED_VALUE"""),"2.3 Tempat Pengomposan dan Pengolahan Sampah Organik [Baseline]")</f>
        <v>2.3 Tempat Pengomposan dan Pengolahan Sampah Organik [Baseline]</v>
      </c>
      <c r="AU1" s="29" t="str">
        <f ca="1">IFERROR(__xludf.DUMMYFUNCTION("""COMPUTED_VALUE"""),"2.3 Tempat Pengomposan dan Pengolahan Sampah Organik [Target]")</f>
        <v>2.3 Tempat Pengomposan dan Pengolahan Sampah Organik [Target]</v>
      </c>
      <c r="AV1" s="29" t="str">
        <f ca="1">IFERROR(__xludf.DUMMYFUNCTION("""COMPUTED_VALUE"""),"2.3 Tempat Pengomposan dan Pengolahan Sampah Organik [Capaian]")</f>
        <v>2.3 Tempat Pengomposan dan Pengolahan Sampah Organik [Capaian]</v>
      </c>
      <c r="AW1" s="29" t="str">
        <f ca="1">IFERROR(__xludf.DUMMYFUNCTION("""COMPUTED_VALUE"""),"Link Dokumentasi  2.3  Tempat Pengomposan dan Pengolahan Sampah Organik")</f>
        <v>Link Dokumentasi  2.3  Tempat Pengomposan dan Pengolahan Sampah Organik</v>
      </c>
      <c r="AX1" s="29" t="str">
        <f ca="1">IFERROR(__xludf.DUMMYFUNCTION("""COMPUTED_VALUE"""),"2.4   Produk Daur Ulang [Baseline]")</f>
        <v>2.4   Produk Daur Ulang [Baseline]</v>
      </c>
      <c r="AY1" s="29" t="str">
        <f ca="1">IFERROR(__xludf.DUMMYFUNCTION("""COMPUTED_VALUE"""),"2.4   Produk Daur Ulang [Target]")</f>
        <v>2.4   Produk Daur Ulang [Target]</v>
      </c>
      <c r="AZ1" s="29" t="str">
        <f ca="1">IFERROR(__xludf.DUMMYFUNCTION("""COMPUTED_VALUE"""),"2.4   Produk Daur Ulang [Capaian]")</f>
        <v>2.4   Produk Daur Ulang [Capaian]</v>
      </c>
      <c r="BA1" s="29" t="str">
        <f ca="1">IFERROR(__xludf.DUMMYFUNCTION("""COMPUTED_VALUE"""),"Link Dokumentasi  2.4  Produk Daur Ulang")</f>
        <v>Link Dokumentasi  2.4  Produk Daur Ulang</v>
      </c>
      <c r="BB1" s="29" t="str">
        <f ca="1">IFERROR(__xludf.DUMMYFUNCTION("""COMPUTED_VALUE"""),"3.1  Jumlah Inovasi di Sekolah [Baseline]")</f>
        <v>3.1  Jumlah Inovasi di Sekolah [Baseline]</v>
      </c>
      <c r="BC1" s="29" t="str">
        <f ca="1">IFERROR(__xludf.DUMMYFUNCTION("""COMPUTED_VALUE"""),"3.1  Jumlah Inovasi di Sekolah [Target]")</f>
        <v>3.1  Jumlah Inovasi di Sekolah [Target]</v>
      </c>
      <c r="BD1" s="29" t="str">
        <f ca="1">IFERROR(__xludf.DUMMYFUNCTION("""COMPUTED_VALUE"""),"3.1  Jumlah Inovasi di Sekolah [Capaian]")</f>
        <v>3.1  Jumlah Inovasi di Sekolah [Capaian]</v>
      </c>
      <c r="BE1" s="29" t="str">
        <f ca="1">IFERROR(__xludf.DUMMYFUNCTION("""COMPUTED_VALUE"""),"Link Dokumentasi   3.1 Jumlah Inovasi di Sekolah")</f>
        <v>Link Dokumentasi   3.1 Jumlah Inovasi di Sekolah</v>
      </c>
      <c r="BF1" s="29" t="str">
        <f ca="1">IFERROR(__xludf.DUMMYFUNCTION("""COMPUTED_VALUE"""),"3.2 Pemanfaatan Teknologi dalam Pembelajaran [Baseline]")</f>
        <v>3.2 Pemanfaatan Teknologi dalam Pembelajaran [Baseline]</v>
      </c>
      <c r="BG1" s="29" t="str">
        <f ca="1">IFERROR(__xludf.DUMMYFUNCTION("""COMPUTED_VALUE"""),"3.2 Pemanfaatan Teknologi dalam Pembelajaran [Target]")</f>
        <v>3.2 Pemanfaatan Teknologi dalam Pembelajaran [Target]</v>
      </c>
      <c r="BH1" s="29" t="str">
        <f ca="1">IFERROR(__xludf.DUMMYFUNCTION("""COMPUTED_VALUE"""),"3.2 Pemanfaatan Teknologi dalam Pembelajaran [Capaian]")</f>
        <v>3.2 Pemanfaatan Teknologi dalam Pembelajaran [Capaian]</v>
      </c>
      <c r="BI1" s="29" t="str">
        <f ca="1">IFERROR(__xludf.DUMMYFUNCTION("""COMPUTED_VALUE"""),"Link Dokumentasi   3.2 Pemanfaatan Teknologi dalam Pembelajaran")</f>
        <v>Link Dokumentasi   3.2 Pemanfaatan Teknologi dalam Pembelajaran</v>
      </c>
      <c r="BJ1" s="29" t="str">
        <f ca="1">IFERROR(__xludf.DUMMYFUNCTION("""COMPUTED_VALUE"""),"3.3. Upaya meningkatkan literasi dan numerasi  [Baseline]")</f>
        <v>3.3. Upaya meningkatkan literasi dan numerasi  [Baseline]</v>
      </c>
      <c r="BK1" s="29" t="str">
        <f ca="1">IFERROR(__xludf.DUMMYFUNCTION("""COMPUTED_VALUE"""),"3.3. Upaya meningkatkan literasi dan numerasi  [Target]")</f>
        <v>3.3. Upaya meningkatkan literasi dan numerasi  [Target]</v>
      </c>
      <c r="BL1" s="29" t="str">
        <f ca="1">IFERROR(__xludf.DUMMYFUNCTION("""COMPUTED_VALUE"""),"3.3. Upaya meningkatkan literasi dan numerasi  [Capaian]")</f>
        <v>3.3. Upaya meningkatkan literasi dan numerasi  [Capaian]</v>
      </c>
      <c r="BM1" s="29" t="str">
        <f ca="1">IFERROR(__xludf.DUMMYFUNCTION("""COMPUTED_VALUE"""),"Link  Dokumentasi   3.3. Upaya meningkatkan literasi dan numerasi")</f>
        <v>Link  Dokumentasi   3.3. Upaya meningkatkan literasi dan numerasi</v>
      </c>
      <c r="BN1" s="29" t="str">
        <f ca="1">IFERROR(__xludf.DUMMYFUNCTION("""COMPUTED_VALUE"""),"4.1  Indeks kepuasan Orang Tua Murid [Baseline]")</f>
        <v>4.1  Indeks kepuasan Orang Tua Murid [Baseline]</v>
      </c>
      <c r="BO1" s="29" t="str">
        <f ca="1">IFERROR(__xludf.DUMMYFUNCTION("""COMPUTED_VALUE"""),"4.1  Indeks kepuasan Orang Tua Murid [Target]")</f>
        <v>4.1  Indeks kepuasan Orang Tua Murid [Target]</v>
      </c>
      <c r="BP1" s="29" t="str">
        <f ca="1">IFERROR(__xludf.DUMMYFUNCTION("""COMPUTED_VALUE"""),"4.1  Indeks kepuasan Orang Tua Murid [Capaian]")</f>
        <v>4.1  Indeks kepuasan Orang Tua Murid [Capaian]</v>
      </c>
      <c r="BQ1" s="29" t="str">
        <f ca="1">IFERROR(__xludf.DUMMYFUNCTION("""COMPUTED_VALUE"""),"Link  Dokumentasi  4.1   Indeks kepuasan Orang Tua Murid")</f>
        <v>Link  Dokumentasi  4.1   Indeks kepuasan Orang Tua Murid</v>
      </c>
      <c r="BR1" s="29" t="str">
        <f ca="1">IFERROR(__xludf.DUMMYFUNCTION("""COMPUTED_VALUE"""),"4.2 Indeks kepuasan Siswa [Baseline]")</f>
        <v>4.2 Indeks kepuasan Siswa [Baseline]</v>
      </c>
      <c r="BS1" s="29" t="str">
        <f ca="1">IFERROR(__xludf.DUMMYFUNCTION("""COMPUTED_VALUE"""),"4.2 Indeks kepuasan Siswa [Target]")</f>
        <v>4.2 Indeks kepuasan Siswa [Target]</v>
      </c>
      <c r="BT1" s="29" t="str">
        <f ca="1">IFERROR(__xludf.DUMMYFUNCTION("""COMPUTED_VALUE"""),"4.2 Indeks kepuasan Siswa [Capaian]")</f>
        <v>4.2 Indeks kepuasan Siswa [Capaian]</v>
      </c>
      <c r="BU1" s="29" t="str">
        <f ca="1">IFERROR(__xludf.DUMMYFUNCTION("""COMPUTED_VALUE"""),"Link  Dokumentasi  4.2  Indeks kepuasan Siswa")</f>
        <v>Link  Dokumentasi  4.2  Indeks kepuasan Siswa</v>
      </c>
      <c r="BV1" s="29" t="str">
        <f ca="1">IFERROR(__xludf.DUMMYFUNCTION("""COMPUTED_VALUE"""),"4.3 Indeks Kepuasan guru dan staff [Baseline]")</f>
        <v>4.3 Indeks Kepuasan guru dan staff [Baseline]</v>
      </c>
      <c r="BW1" s="29" t="str">
        <f ca="1">IFERROR(__xludf.DUMMYFUNCTION("""COMPUTED_VALUE"""),"4.3 Indeks Kepuasan guru dan staff [Target]")</f>
        <v>4.3 Indeks Kepuasan guru dan staff [Target]</v>
      </c>
      <c r="BX1" s="29" t="str">
        <f ca="1">IFERROR(__xludf.DUMMYFUNCTION("""COMPUTED_VALUE"""),"4.3 Indeks Kepuasan guru dan staff [Capaian]")</f>
        <v>4.3 Indeks Kepuasan guru dan staff [Capaian]</v>
      </c>
      <c r="BY1" s="30" t="str">
        <f ca="1">IFERROR(__xludf.DUMMYFUNCTION("""COMPUTED_VALUE"""),"Link  Dokumentasi  4.3  Indeks Kepuasan guru dan staff")</f>
        <v>Link  Dokumentasi  4.3  Indeks Kepuasan guru dan staff</v>
      </c>
      <c r="BZ1" s="29" t="str">
        <f ca="1">IFERROR(__xludf.DUMMYFUNCTION("""COMPUTED_VALUE"""),"5.1 Jumlah murid dalam mengikuti perlombaan di bidang akademik dan non akademik  [Baseline]")</f>
        <v>5.1 Jumlah murid dalam mengikuti perlombaan di bidang akademik dan non akademik  [Baseline]</v>
      </c>
      <c r="CA1" s="29" t="str">
        <f ca="1">IFERROR(__xludf.DUMMYFUNCTION("""COMPUTED_VALUE"""),"5.1 Jumlah murid dalam mengikuti perlombaan di bidang akademik dan non akademik  [Target]")</f>
        <v>5.1 Jumlah murid dalam mengikuti perlombaan di bidang akademik dan non akademik  [Target]</v>
      </c>
      <c r="CB1" s="29" t="str">
        <f ca="1">IFERROR(__xludf.DUMMYFUNCTION("""COMPUTED_VALUE"""),"5.1 Jumlah murid dalam mengikuti perlombaan di bidang akademik dan non akademik  [Capaian]")</f>
        <v>5.1 Jumlah murid dalam mengikuti perlombaan di bidang akademik dan non akademik  [Capaian]</v>
      </c>
      <c r="CC1" s="29" t="str">
        <f ca="1">IFERROR(__xludf.DUMMYFUNCTION("""COMPUTED_VALUE"""),"Link  Dokumentasi   5.1 Jumlah murid dalam mengikuti perlombaan di bidang akademik dan non akademik")</f>
        <v>Link  Dokumentasi   5.1 Jumlah murid dalam mengikuti perlombaan di bidang akademik dan non akademik</v>
      </c>
      <c r="CD1" s="29" t="str">
        <f ca="1">IFERROR(__xludf.DUMMYFUNCTION("""COMPUTED_VALUE"""),"5.2 Jumlah Murid yang Berprestasi di bidang akademik  [Baseline]")</f>
        <v>5.2 Jumlah Murid yang Berprestasi di bidang akademik  [Baseline]</v>
      </c>
      <c r="CE1" s="29" t="str">
        <f ca="1">IFERROR(__xludf.DUMMYFUNCTION("""COMPUTED_VALUE"""),"5.2 Jumlah Murid yang Berprestasi di bidang akademik  [Target]")</f>
        <v>5.2 Jumlah Murid yang Berprestasi di bidang akademik  [Target]</v>
      </c>
      <c r="CF1" s="29" t="str">
        <f ca="1">IFERROR(__xludf.DUMMYFUNCTION("""COMPUTED_VALUE"""),"5.2 Jumlah Murid yang Berprestasi di bidang akademik  [Capaian]")</f>
        <v>5.2 Jumlah Murid yang Berprestasi di bidang akademik  [Capaian]</v>
      </c>
      <c r="CG1" s="29" t="str">
        <f ca="1">IFERROR(__xludf.DUMMYFUNCTION("""COMPUTED_VALUE"""),"Link  Dokumentasi   5.2 Jumlah Murid yang Berprestasi di bidang akademik")</f>
        <v>Link  Dokumentasi   5.2 Jumlah Murid yang Berprestasi di bidang akademik</v>
      </c>
      <c r="CH1" s="29" t="str">
        <f ca="1">IFERROR(__xludf.DUMMYFUNCTION("""COMPUTED_VALUE"""),"5.3  Jumlah Murid yang Berprestasi di bidang non akademik  [Baseline]")</f>
        <v>5.3  Jumlah Murid yang Berprestasi di bidang non akademik  [Baseline]</v>
      </c>
      <c r="CI1" s="29" t="str">
        <f ca="1">IFERROR(__xludf.DUMMYFUNCTION("""COMPUTED_VALUE"""),"5.3  Jumlah Murid yang Berprestasi di bidang non akademik  [Target]")</f>
        <v>5.3  Jumlah Murid yang Berprestasi di bidang non akademik  [Target]</v>
      </c>
      <c r="CJ1" s="29" t="str">
        <f ca="1">IFERROR(__xludf.DUMMYFUNCTION("""COMPUTED_VALUE"""),"5.3  Jumlah Murid yang Berprestasi di bidang non akademik  [Capaian]")</f>
        <v>5.3  Jumlah Murid yang Berprestasi di bidang non akademik  [Capaian]</v>
      </c>
      <c r="CK1" s="29" t="str">
        <f ca="1">IFERROR(__xludf.DUMMYFUNCTION("""COMPUTED_VALUE"""),"Link Dokumentasi 5.3 Jumlah Murid yang Berprestasi di bidang non-akademik")</f>
        <v>Link Dokumentasi 5.3 Jumlah Murid yang Berprestasi di bidang non-akademik</v>
      </c>
      <c r="CL1" s="29" t="str">
        <f ca="1">IFERROR(__xludf.DUMMYFUNCTION("""COMPUTED_VALUE"""),"5.4 Jumlah Murid yang tidak Lancar Calistung [Baseline]")</f>
        <v>5.4 Jumlah Murid yang tidak Lancar Calistung [Baseline]</v>
      </c>
      <c r="CM1" s="29" t="str">
        <f ca="1">IFERROR(__xludf.DUMMYFUNCTION("""COMPUTED_VALUE"""),"5.4 Jumlah Murid yang tidak Lancar Calistung [Target]")</f>
        <v>5.4 Jumlah Murid yang tidak Lancar Calistung [Target]</v>
      </c>
      <c r="CN1" s="29" t="str">
        <f ca="1">IFERROR(__xludf.DUMMYFUNCTION("""COMPUTED_VALUE"""),"5.4 Jumlah Murid yang tidak Lancar Calistung [Capaian]")</f>
        <v>5.4 Jumlah Murid yang tidak Lancar Calistung [Capaian]</v>
      </c>
      <c r="CO1" s="29" t="str">
        <f ca="1">IFERROR(__xludf.DUMMYFUNCTION("""COMPUTED_VALUE"""),"Link Dokumentasi   5.4 Jumlah Murid yang tidak Lancar Calistung")</f>
        <v>Link Dokumentasi   5.4 Jumlah Murid yang tidak Lancar Calistung</v>
      </c>
      <c r="CP1" s="29" t="str">
        <f ca="1">IFERROR(__xludf.DUMMYFUNCTION("""COMPUTED_VALUE"""),"5.5 Partisipasi Murid dalam Ekstrakurikuler  [Baseline]")</f>
        <v>5.5 Partisipasi Murid dalam Ekstrakurikuler  [Baseline]</v>
      </c>
      <c r="CQ1" s="29" t="str">
        <f ca="1">IFERROR(__xludf.DUMMYFUNCTION("""COMPUTED_VALUE"""),"5.5 Partisipasi Murid dalam Ekstrakurikuler  [Target]")</f>
        <v>5.5 Partisipasi Murid dalam Ekstrakurikuler  [Target]</v>
      </c>
      <c r="CR1" s="29" t="str">
        <f ca="1">IFERROR(__xludf.DUMMYFUNCTION("""COMPUTED_VALUE"""),"5.5 Partisipasi Murid dalam Ekstrakurikuler  [Capaian]")</f>
        <v>5.5 Partisipasi Murid dalam Ekstrakurikuler  [Capaian]</v>
      </c>
      <c r="CS1" s="29" t="str">
        <f ca="1">IFERROR(__xludf.DUMMYFUNCTION("""COMPUTED_VALUE"""),"Link Dokumentasi  5.5 Partisipasi Murid dalam Ekstrakurikuler")</f>
        <v>Link Dokumentasi  5.5 Partisipasi Murid dalam Ekstrakurikuler</v>
      </c>
      <c r="CT1" s="29" t="str">
        <f ca="1">IFERROR(__xludf.DUMMYFUNCTION("""COMPUTED_VALUE"""),"6.1 Dokumen Rencana Kerja Sekolah [Baseline]")</f>
        <v>6.1 Dokumen Rencana Kerja Sekolah [Baseline]</v>
      </c>
      <c r="CU1" s="29" t="str">
        <f ca="1">IFERROR(__xludf.DUMMYFUNCTION("""COMPUTED_VALUE"""),"6.1 Dokumen Rencana Kerja Sekolah [Target]")</f>
        <v>6.1 Dokumen Rencana Kerja Sekolah [Target]</v>
      </c>
      <c r="CV1" s="29" t="str">
        <f ca="1">IFERROR(__xludf.DUMMYFUNCTION("""COMPUTED_VALUE"""),"6.1 Dokumen Rencana Kerja Sekolah [Capaian]")</f>
        <v>6.1 Dokumen Rencana Kerja Sekolah [Capaian]</v>
      </c>
      <c r="CW1" s="29" t="str">
        <f ca="1">IFERROR(__xludf.DUMMYFUNCTION("""COMPUTED_VALUE"""),"Link Dokumentasi 6.1 Dokumen Rencana Kerja Sekolah")</f>
        <v>Link Dokumentasi 6.1 Dokumen Rencana Kerja Sekolah</v>
      </c>
      <c r="CX1" s="29" t="str">
        <f ca="1">IFERROR(__xludf.DUMMYFUNCTION("""COMPUTED_VALUE"""),"6.2 Dokumen Kurikulum Satuan Pendidikan  [Baseline]")</f>
        <v>6.2 Dokumen Kurikulum Satuan Pendidikan  [Baseline]</v>
      </c>
      <c r="CY1" s="29" t="str">
        <f ca="1">IFERROR(__xludf.DUMMYFUNCTION("""COMPUTED_VALUE"""),"6.2 Dokumen Kurikulum Satuan Pendidikan  [Target]")</f>
        <v>6.2 Dokumen Kurikulum Satuan Pendidikan  [Target]</v>
      </c>
      <c r="CZ1" s="29" t="str">
        <f ca="1">IFERROR(__xludf.DUMMYFUNCTION("""COMPUTED_VALUE"""),"6.2 Dokumen Kurikulum Satuan Pendidikan  [Capaian]")</f>
        <v>6.2 Dokumen Kurikulum Satuan Pendidikan  [Capaian]</v>
      </c>
      <c r="DA1" s="29" t="str">
        <f ca="1">IFERROR(__xludf.DUMMYFUNCTION("""COMPUTED_VALUE"""),"Link Dokumentasi 6.2 Dokumen Kurikulum Satuan Pendidikan")</f>
        <v>Link Dokumentasi 6.2 Dokumen Kurikulum Satuan Pendidikan</v>
      </c>
      <c r="DB1" s="29" t="str">
        <f ca="1">IFERROR(__xludf.DUMMYFUNCTION("""COMPUTED_VALUE""")," 6.3 Dokumen Inventaris Barang  [Baseline]")</f>
        <v xml:space="preserve"> 6.3 Dokumen Inventaris Barang  [Baseline]</v>
      </c>
      <c r="DC1" s="29" t="str">
        <f ca="1">IFERROR(__xludf.DUMMYFUNCTION("""COMPUTED_VALUE""")," 6.3 Dokumen Inventaris Barang  [Target]")</f>
        <v xml:space="preserve"> 6.3 Dokumen Inventaris Barang  [Target]</v>
      </c>
      <c r="DD1" s="29" t="str">
        <f ca="1">IFERROR(__xludf.DUMMYFUNCTION("""COMPUTED_VALUE""")," 6.3 Dokumen Inventaris Barang  [Capaian]")</f>
        <v xml:space="preserve"> 6.3 Dokumen Inventaris Barang  [Capaian]</v>
      </c>
      <c r="DE1" s="29" t="str">
        <f ca="1">IFERROR(__xludf.DUMMYFUNCTION("""COMPUTED_VALUE"""),"Link Dokumentasi 6.3 Dokumen Inventaris Barang")</f>
        <v>Link Dokumentasi 6.3 Dokumen Inventaris Barang</v>
      </c>
      <c r="DF1" s="29" t="str">
        <f ca="1">IFERROR(__xludf.DUMMYFUNCTION("""COMPUTED_VALUE""")," 6.4 Dokumen Administrasi Murid  [Baseline]")</f>
        <v xml:space="preserve"> 6.4 Dokumen Administrasi Murid  [Baseline]</v>
      </c>
      <c r="DG1" s="29" t="str">
        <f ca="1">IFERROR(__xludf.DUMMYFUNCTION("""COMPUTED_VALUE""")," 6.4 Dokumen Administrasi Murid  [Target]")</f>
        <v xml:space="preserve"> 6.4 Dokumen Administrasi Murid  [Target]</v>
      </c>
      <c r="DH1" s="29" t="str">
        <f ca="1">IFERROR(__xludf.DUMMYFUNCTION("""COMPUTED_VALUE""")," 6.4 Dokumen Administrasi Murid  [Capaian]")</f>
        <v xml:space="preserve"> 6.4 Dokumen Administrasi Murid  [Capaian]</v>
      </c>
      <c r="DI1" s="29" t="str">
        <f ca="1">IFERROR(__xludf.DUMMYFUNCTION("""COMPUTED_VALUE"""),"Link  Dokumentasi 6.4 Dokumen Administrasi Murid")</f>
        <v>Link  Dokumentasi 6.4 Dokumen Administrasi Murid</v>
      </c>
      <c r="DJ1" s="29" t="str">
        <f ca="1">IFERROR(__xludf.DUMMYFUNCTION("""COMPUTED_VALUE""")," 6.5  Laporan Penggunaan Dana BOS   [Baseline]")</f>
        <v xml:space="preserve"> 6.5  Laporan Penggunaan Dana BOS   [Baseline]</v>
      </c>
      <c r="DK1" s="29" t="str">
        <f ca="1">IFERROR(__xludf.DUMMYFUNCTION("""COMPUTED_VALUE""")," 6.5  Laporan Penggunaan Dana BOS   [Target]")</f>
        <v xml:space="preserve"> 6.5  Laporan Penggunaan Dana BOS   [Target]</v>
      </c>
      <c r="DL1" s="29" t="str">
        <f ca="1">IFERROR(__xludf.DUMMYFUNCTION("""COMPUTED_VALUE""")," 6.5  Laporan Penggunaan Dana BOS   [Capaian]")</f>
        <v xml:space="preserve"> 6.5  Laporan Penggunaan Dana BOS   [Capaian]</v>
      </c>
      <c r="DM1" s="29" t="str">
        <f ca="1">IFERROR(__xludf.DUMMYFUNCTION("""COMPUTED_VALUE"""),"Link Dokumentasi 6.5  Laporan Penggunaan Dana BOS")</f>
        <v>Link Dokumentasi 6.5  Laporan Penggunaan Dana BOS</v>
      </c>
      <c r="DN1" s="29" t="str">
        <f ca="1">IFERROR(__xludf.DUMMYFUNCTION("""COMPUTED_VALUE"""),"Catatan dan Rekomendasi")</f>
        <v>Catatan dan Rekomendasi</v>
      </c>
      <c r="DO1" s="31" t="s">
        <v>18</v>
      </c>
      <c r="DP1" s="32" t="s">
        <v>59</v>
      </c>
      <c r="DQ1" s="32" t="s">
        <v>60</v>
      </c>
      <c r="DR1" s="32" t="s">
        <v>61</v>
      </c>
      <c r="DS1" s="32" t="s">
        <v>62</v>
      </c>
      <c r="DT1" s="33" t="s">
        <v>63</v>
      </c>
      <c r="DU1" s="34" t="s">
        <v>64</v>
      </c>
      <c r="DV1" s="34" t="s">
        <v>65</v>
      </c>
      <c r="DW1" s="34" t="s">
        <v>66</v>
      </c>
      <c r="DX1" s="35" t="s">
        <v>67</v>
      </c>
      <c r="DY1" s="34" t="s">
        <v>68</v>
      </c>
      <c r="DZ1" s="34" t="s">
        <v>69</v>
      </c>
      <c r="EA1" s="34" t="s">
        <v>70</v>
      </c>
      <c r="EB1" s="36" t="s">
        <v>71</v>
      </c>
      <c r="EC1" s="34" t="s">
        <v>72</v>
      </c>
      <c r="ED1" s="34" t="s">
        <v>73</v>
      </c>
      <c r="EE1" s="34" t="s">
        <v>74</v>
      </c>
      <c r="EF1" s="37" t="s">
        <v>75</v>
      </c>
      <c r="EG1" s="34" t="s">
        <v>76</v>
      </c>
      <c r="EH1" s="34" t="s">
        <v>77</v>
      </c>
      <c r="EI1" s="34" t="s">
        <v>78</v>
      </c>
      <c r="EJ1" s="38" t="s">
        <v>79</v>
      </c>
      <c r="EK1" s="34" t="s">
        <v>80</v>
      </c>
      <c r="EL1" s="34" t="s">
        <v>81</v>
      </c>
      <c r="EM1" s="34" t="s">
        <v>82</v>
      </c>
      <c r="EN1" s="39" t="s">
        <v>83</v>
      </c>
      <c r="EO1" s="34" t="s">
        <v>84</v>
      </c>
      <c r="EP1" s="34" t="s">
        <v>85</v>
      </c>
      <c r="EQ1" s="34" t="s">
        <v>86</v>
      </c>
      <c r="ER1" s="29"/>
      <c r="ES1" s="29"/>
      <c r="ET1" s="29"/>
      <c r="EU1" s="29"/>
      <c r="EV1" s="29"/>
      <c r="EW1" s="29"/>
      <c r="EX1" s="29"/>
      <c r="EY1" s="29"/>
    </row>
    <row r="2" spans="1:155" ht="15.75" customHeight="1" x14ac:dyDescent="0.3">
      <c r="A2" s="40">
        <f ca="1">IFERROR(__xludf.DUMMYFUNCTION("""COMPUTED_VALUE"""),46110.4085968055)</f>
        <v>46110.408596805501</v>
      </c>
      <c r="B2" s="41" t="str">
        <f ca="1">IFERROR(__xludf.DUMMYFUNCTION("""COMPUTED_VALUE"""),"linda.purba24@guru.sd.belajar.id")</f>
        <v>linda.purba24@guru.sd.belajar.id</v>
      </c>
      <c r="C2" s="41">
        <f ca="1">IFERROR(__xludf.DUMMYFUNCTION("""COMPUTED_VALUE"""),10213240)</f>
        <v>10213240</v>
      </c>
      <c r="D2" s="41" t="str">
        <f ca="1">IFERROR(__xludf.DUMMYFUNCTION("""COMPUTED_VALUE"""),"Bangun Purba")</f>
        <v>Bangun Purba</v>
      </c>
      <c r="E2" s="41" t="str">
        <f ca="1">IFERROR(__xludf.DUMMYFUNCTION("""COMPUTED_VALUE"""),"SD")</f>
        <v>SD</v>
      </c>
      <c r="F2" s="41" t="str">
        <f ca="1">IFERROR(__xludf.DUMMYFUNCTION("""COMPUTED_VALUE"""),"UPT SPF SD NEGERI 101992 CIMAHI")</f>
        <v>UPT SPF SD NEGERI 101992 CIMAHI</v>
      </c>
      <c r="G2" s="41" t="str">
        <f ca="1">IFERROR(__xludf.DUMMYFUNCTION("""COMPUTED_VALUE"""),"Linda Purba, S. Pd")</f>
        <v>Linda Purba, S. Pd</v>
      </c>
      <c r="H2" s="41" t="str">
        <f ca="1">IFERROR(__xludf.DUMMYFUNCTION("""COMPUTED_VALUE"""),"081397495277")</f>
        <v>081397495277</v>
      </c>
      <c r="I2" s="41" t="str">
        <f ca="1">IFERROR(__xludf.DUMMYFUNCTION("""COMPUTED_VALUE"""),"SRI MULIANA BR SARAGIH, S.Pd")</f>
        <v>SRI MULIANA BR SARAGIH, S.Pd</v>
      </c>
      <c r="J2" s="41" t="str">
        <f ca="1">IFERROR(__xludf.DUMMYFUNCTION("""COMPUTED_VALUE"""),"085260620355")</f>
        <v>085260620355</v>
      </c>
      <c r="K2" s="41" t="str">
        <f ca="1">IFERROR(__xludf.DUMMYFUNCTION("""COMPUTED_VALUE"""),"TW1")</f>
        <v>TW1</v>
      </c>
      <c r="L2" s="41" t="str">
        <f ca="1">IFERROR(__xludf.DUMMYFUNCTION("""COMPUTED_VALUE"""),"Maret")</f>
        <v>Maret</v>
      </c>
      <c r="M2" s="41" t="str">
        <f ca="1">IFERROR(__xludf.DUMMYFUNCTION("""COMPUTED_VALUE"""),"IV")</f>
        <v>IV</v>
      </c>
      <c r="N2" s="41">
        <f ca="1">IFERROR(__xludf.DUMMYFUNCTION("""COMPUTED_VALUE"""),2)</f>
        <v>2</v>
      </c>
      <c r="O2" s="41">
        <f ca="1">IFERROR(__xludf.DUMMYFUNCTION("""COMPUTED_VALUE"""),5)</f>
        <v>5</v>
      </c>
      <c r="P2" s="41">
        <f ca="1">IFERROR(__xludf.DUMMYFUNCTION("""COMPUTED_VALUE"""),3)</f>
        <v>3</v>
      </c>
      <c r="Q2" s="42" t="str">
        <f ca="1">IFERROR(__xludf.DUMMYFUNCTION("""COMPUTED_VALUE"""),"https://drive.google.com/drive/folders/1i7QdMQMXxJcHoylJCN-yVcxf3qKS4R4e?usp=sharing")</f>
        <v>https://drive.google.com/drive/folders/1i7QdMQMXxJcHoylJCN-yVcxf3qKS4R4e?usp=sharing</v>
      </c>
      <c r="R2" s="41">
        <f ca="1">IFERROR(__xludf.DUMMYFUNCTION("""COMPUTED_VALUE"""),1)</f>
        <v>1</v>
      </c>
      <c r="S2" s="41">
        <f ca="1">IFERROR(__xludf.DUMMYFUNCTION("""COMPUTED_VALUE"""),5)</f>
        <v>5</v>
      </c>
      <c r="T2" s="41">
        <f ca="1">IFERROR(__xludf.DUMMYFUNCTION("""COMPUTED_VALUE"""),2)</f>
        <v>2</v>
      </c>
      <c r="U2" s="42" t="str">
        <f ca="1">IFERROR(__xludf.DUMMYFUNCTION("""COMPUTED_VALUE"""),"https://drive.google.com/drive/folders/1Sq53UmgZdsE3atpHvgdbdRFSbn4JxAY-?usp=sharing")</f>
        <v>https://drive.google.com/drive/folders/1Sq53UmgZdsE3atpHvgdbdRFSbn4JxAY-?usp=sharing</v>
      </c>
      <c r="V2" s="41">
        <f ca="1">IFERROR(__xludf.DUMMYFUNCTION("""COMPUTED_VALUE"""),1)</f>
        <v>1</v>
      </c>
      <c r="W2" s="41">
        <f ca="1">IFERROR(__xludf.DUMMYFUNCTION("""COMPUTED_VALUE"""),5)</f>
        <v>5</v>
      </c>
      <c r="X2" s="41">
        <f ca="1">IFERROR(__xludf.DUMMYFUNCTION("""COMPUTED_VALUE"""),2)</f>
        <v>2</v>
      </c>
      <c r="Y2" s="42" t="str">
        <f ca="1">IFERROR(__xludf.DUMMYFUNCTION("""COMPUTED_VALUE"""),"https://drive.google.com/drive/folders/1ERur9mLsjSUhq9JW_YEZLLfv6PcysvEx?usp=sharing")</f>
        <v>https://drive.google.com/drive/folders/1ERur9mLsjSUhq9JW_YEZLLfv6PcysvEx?usp=sharing</v>
      </c>
      <c r="Z2" s="41">
        <f ca="1">IFERROR(__xludf.DUMMYFUNCTION("""COMPUTED_VALUE"""),1)</f>
        <v>1</v>
      </c>
      <c r="AA2" s="41">
        <f ca="1">IFERROR(__xludf.DUMMYFUNCTION("""COMPUTED_VALUE"""),5)</f>
        <v>5</v>
      </c>
      <c r="AB2" s="41">
        <f ca="1">IFERROR(__xludf.DUMMYFUNCTION("""COMPUTED_VALUE"""),2)</f>
        <v>2</v>
      </c>
      <c r="AC2" s="42" t="str">
        <f ca="1">IFERROR(__xludf.DUMMYFUNCTION("""COMPUTED_VALUE"""),"https://drive.google.com/drive/folders/1W2eUM6dYG6LsY-tLKJWwC2-l8jYeAygx?usp=sharing")</f>
        <v>https://drive.google.com/drive/folders/1W2eUM6dYG6LsY-tLKJWwC2-l8jYeAygx?usp=sharing</v>
      </c>
      <c r="AD2" s="41">
        <f ca="1">IFERROR(__xludf.DUMMYFUNCTION("""COMPUTED_VALUE"""),1)</f>
        <v>1</v>
      </c>
      <c r="AE2" s="41">
        <f ca="1">IFERROR(__xludf.DUMMYFUNCTION("""COMPUTED_VALUE"""),5)</f>
        <v>5</v>
      </c>
      <c r="AF2" s="41">
        <f ca="1">IFERROR(__xludf.DUMMYFUNCTION("""COMPUTED_VALUE"""),2)</f>
        <v>2</v>
      </c>
      <c r="AG2" s="42" t="str">
        <f ca="1">IFERROR(__xludf.DUMMYFUNCTION("""COMPUTED_VALUE"""),"https://drive.google.com/drive/folders/1OgyTBFy3_2bJu0_H6dnTerh1XZfTZvth?usp=sharing")</f>
        <v>https://drive.google.com/drive/folders/1OgyTBFy3_2bJu0_H6dnTerh1XZfTZvth?usp=sharing</v>
      </c>
      <c r="AH2" s="41">
        <f ca="1">IFERROR(__xludf.DUMMYFUNCTION("""COMPUTED_VALUE"""),1)</f>
        <v>1</v>
      </c>
      <c r="AI2" s="41">
        <f ca="1">IFERROR(__xludf.DUMMYFUNCTION("""COMPUTED_VALUE"""),5)</f>
        <v>5</v>
      </c>
      <c r="AJ2" s="41">
        <f ca="1">IFERROR(__xludf.DUMMYFUNCTION("""COMPUTED_VALUE"""),2)</f>
        <v>2</v>
      </c>
      <c r="AK2" s="42" t="str">
        <f ca="1">IFERROR(__xludf.DUMMYFUNCTION("""COMPUTED_VALUE"""),"https://drive.google.com/drive/folders/1rqgPOvDQYMkMbITdF-StpP-mzyCpKdQi?usp=sharing")</f>
        <v>https://drive.google.com/drive/folders/1rqgPOvDQYMkMbITdF-StpP-mzyCpKdQi?usp=sharing</v>
      </c>
      <c r="AL2" s="41">
        <f ca="1">IFERROR(__xludf.DUMMYFUNCTION("""COMPUTED_VALUE"""),1)</f>
        <v>1</v>
      </c>
      <c r="AM2" s="41">
        <f ca="1">IFERROR(__xludf.DUMMYFUNCTION("""COMPUTED_VALUE"""),5)</f>
        <v>5</v>
      </c>
      <c r="AN2" s="41">
        <f ca="1">IFERROR(__xludf.DUMMYFUNCTION("""COMPUTED_VALUE"""),2)</f>
        <v>2</v>
      </c>
      <c r="AO2" s="42" t="str">
        <f ca="1">IFERROR(__xludf.DUMMYFUNCTION("""COMPUTED_VALUE"""),"https://drive.google.com/drive/folders/1WkC2_Q43ewpVY_7l9TowB8KP_8vUfNQ6?usp=sharing")</f>
        <v>https://drive.google.com/drive/folders/1WkC2_Q43ewpVY_7l9TowB8KP_8vUfNQ6?usp=sharing</v>
      </c>
      <c r="AP2" s="41">
        <f ca="1">IFERROR(__xludf.DUMMYFUNCTION("""COMPUTED_VALUE"""),1)</f>
        <v>1</v>
      </c>
      <c r="AQ2" s="41">
        <f ca="1">IFERROR(__xludf.DUMMYFUNCTION("""COMPUTED_VALUE"""),5)</f>
        <v>5</v>
      </c>
      <c r="AR2" s="41">
        <f ca="1">IFERROR(__xludf.DUMMYFUNCTION("""COMPUTED_VALUE"""),2)</f>
        <v>2</v>
      </c>
      <c r="AS2" s="42" t="str">
        <f ca="1">IFERROR(__xludf.DUMMYFUNCTION("""COMPUTED_VALUE"""),"https://drive.google.com/drive/folders/144Jo2RvuD7SIIJqSF7fZKBCcOB6taBoU?usp=sharing")</f>
        <v>https://drive.google.com/drive/folders/144Jo2RvuD7SIIJqSF7fZKBCcOB6taBoU?usp=sharing</v>
      </c>
      <c r="AT2" s="41">
        <f ca="1">IFERROR(__xludf.DUMMYFUNCTION("""COMPUTED_VALUE"""),1)</f>
        <v>1</v>
      </c>
      <c r="AU2" s="41">
        <f ca="1">IFERROR(__xludf.DUMMYFUNCTION("""COMPUTED_VALUE"""),5)</f>
        <v>5</v>
      </c>
      <c r="AV2" s="41">
        <f ca="1">IFERROR(__xludf.DUMMYFUNCTION("""COMPUTED_VALUE"""),2)</f>
        <v>2</v>
      </c>
      <c r="AW2" s="42" t="str">
        <f ca="1">IFERROR(__xludf.DUMMYFUNCTION("""COMPUTED_VALUE"""),"https://drive.google.com/drive/folders/19ZVlsxEF4kck_3H-yM67pFQOc8H9zjAg?usp=sharing")</f>
        <v>https://drive.google.com/drive/folders/19ZVlsxEF4kck_3H-yM67pFQOc8H9zjAg?usp=sharing</v>
      </c>
      <c r="AX2" s="41">
        <f ca="1">IFERROR(__xludf.DUMMYFUNCTION("""COMPUTED_VALUE"""),1)</f>
        <v>1</v>
      </c>
      <c r="AY2" s="41">
        <f ca="1">IFERROR(__xludf.DUMMYFUNCTION("""COMPUTED_VALUE"""),5)</f>
        <v>5</v>
      </c>
      <c r="AZ2" s="41">
        <f ca="1">IFERROR(__xludf.DUMMYFUNCTION("""COMPUTED_VALUE"""),2)</f>
        <v>2</v>
      </c>
      <c r="BA2" s="42" t="str">
        <f ca="1">IFERROR(__xludf.DUMMYFUNCTION("""COMPUTED_VALUE"""),"https://drive.google.com/drive/folders/1P8c7kD0Sr63BPGkdw17sG4U-eCg_eXxW?usp=sharing")</f>
        <v>https://drive.google.com/drive/folders/1P8c7kD0Sr63BPGkdw17sG4U-eCg_eXxW?usp=sharing</v>
      </c>
      <c r="BB2" s="41">
        <f ca="1">IFERROR(__xludf.DUMMYFUNCTION("""COMPUTED_VALUE"""),1)</f>
        <v>1</v>
      </c>
      <c r="BC2" s="41">
        <f ca="1">IFERROR(__xludf.DUMMYFUNCTION("""COMPUTED_VALUE"""),5)</f>
        <v>5</v>
      </c>
      <c r="BD2" s="41">
        <f ca="1">IFERROR(__xludf.DUMMYFUNCTION("""COMPUTED_VALUE"""),2)</f>
        <v>2</v>
      </c>
      <c r="BE2" s="42" t="str">
        <f ca="1">IFERROR(__xludf.DUMMYFUNCTION("""COMPUTED_VALUE"""),"https://drive.google.com/drive/folders/1I5XS8V9c934R1JGlMgDUL33eeabETi80?usp=sharing")</f>
        <v>https://drive.google.com/drive/folders/1I5XS8V9c934R1JGlMgDUL33eeabETi80?usp=sharing</v>
      </c>
      <c r="BF2" s="41">
        <f ca="1">IFERROR(__xludf.DUMMYFUNCTION("""COMPUTED_VALUE"""),2)</f>
        <v>2</v>
      </c>
      <c r="BG2" s="41">
        <f ca="1">IFERROR(__xludf.DUMMYFUNCTION("""COMPUTED_VALUE"""),5)</f>
        <v>5</v>
      </c>
      <c r="BH2" s="41">
        <f ca="1">IFERROR(__xludf.DUMMYFUNCTION("""COMPUTED_VALUE"""),3)</f>
        <v>3</v>
      </c>
      <c r="BI2" s="42" t="str">
        <f ca="1">IFERROR(__xludf.DUMMYFUNCTION("""COMPUTED_VALUE"""),"https://drive.google.com/drive/folders/1YRYnUVDYfwezjtaTNksPKXUc56e5cdmq?usp=sharing")</f>
        <v>https://drive.google.com/drive/folders/1YRYnUVDYfwezjtaTNksPKXUc56e5cdmq?usp=sharing</v>
      </c>
      <c r="BJ2" s="41">
        <f ca="1">IFERROR(__xludf.DUMMYFUNCTION("""COMPUTED_VALUE"""),2)</f>
        <v>2</v>
      </c>
      <c r="BK2" s="41">
        <f ca="1">IFERROR(__xludf.DUMMYFUNCTION("""COMPUTED_VALUE"""),5)</f>
        <v>5</v>
      </c>
      <c r="BL2" s="41">
        <f ca="1">IFERROR(__xludf.DUMMYFUNCTION("""COMPUTED_VALUE"""),3)</f>
        <v>3</v>
      </c>
      <c r="BM2" s="42" t="str">
        <f ca="1">IFERROR(__xludf.DUMMYFUNCTION("""COMPUTED_VALUE"""),"https://drive.google.com/drive/folders/1gLVQTKU61-z5Y7Jv4h_J1WjA5DtPRmFn?usp=sharing")</f>
        <v>https://drive.google.com/drive/folders/1gLVQTKU61-z5Y7Jv4h_J1WjA5DtPRmFn?usp=sharing</v>
      </c>
      <c r="BN2" s="41">
        <f ca="1">IFERROR(__xludf.DUMMYFUNCTION("""COMPUTED_VALUE"""),1)</f>
        <v>1</v>
      </c>
      <c r="BO2" s="41">
        <f ca="1">IFERROR(__xludf.DUMMYFUNCTION("""COMPUTED_VALUE"""),5)</f>
        <v>5</v>
      </c>
      <c r="BP2" s="41">
        <f ca="1">IFERROR(__xludf.DUMMYFUNCTION("""COMPUTED_VALUE"""),2)</f>
        <v>2</v>
      </c>
      <c r="BQ2" s="42" t="str">
        <f ca="1">IFERROR(__xludf.DUMMYFUNCTION("""COMPUTED_VALUE"""),"https://drive.google.com/drive/folders/1vuEdfaUndHHZ7RnSGb127gHiGImCjFqB?usp=sharing")</f>
        <v>https://drive.google.com/drive/folders/1vuEdfaUndHHZ7RnSGb127gHiGImCjFqB?usp=sharing</v>
      </c>
      <c r="BR2" s="41">
        <f ca="1">IFERROR(__xludf.DUMMYFUNCTION("""COMPUTED_VALUE"""),1)</f>
        <v>1</v>
      </c>
      <c r="BS2" s="41">
        <f ca="1">IFERROR(__xludf.DUMMYFUNCTION("""COMPUTED_VALUE"""),5)</f>
        <v>5</v>
      </c>
      <c r="BT2" s="41">
        <f ca="1">IFERROR(__xludf.DUMMYFUNCTION("""COMPUTED_VALUE"""),2)</f>
        <v>2</v>
      </c>
      <c r="BU2" s="42" t="str">
        <f ca="1">IFERROR(__xludf.DUMMYFUNCTION("""COMPUTED_VALUE"""),"https://drive.google.com/drive/folders/1vuEdfaUndHHZ7RnSGb127gHiGImCjFqB?usp=sharing")</f>
        <v>https://drive.google.com/drive/folders/1vuEdfaUndHHZ7RnSGb127gHiGImCjFqB?usp=sharing</v>
      </c>
      <c r="BV2" s="41">
        <f ca="1">IFERROR(__xludf.DUMMYFUNCTION("""COMPUTED_VALUE"""),1)</f>
        <v>1</v>
      </c>
      <c r="BW2" s="41">
        <f ca="1">IFERROR(__xludf.DUMMYFUNCTION("""COMPUTED_VALUE"""),5)</f>
        <v>5</v>
      </c>
      <c r="BX2" s="41">
        <f ca="1">IFERROR(__xludf.DUMMYFUNCTION("""COMPUTED_VALUE"""),2)</f>
        <v>2</v>
      </c>
      <c r="BY2" s="43" t="str">
        <f ca="1">IFERROR(__xludf.DUMMYFUNCTION("""COMPUTED_VALUE"""),"https://drive.google.com/drive/folders/1vuEdfaUndHHZ7RnSGb127gHiGImCjFqB?usp=sharing")</f>
        <v>https://drive.google.com/drive/folders/1vuEdfaUndHHZ7RnSGb127gHiGImCjFqB?usp=sharing</v>
      </c>
      <c r="BZ2" s="41">
        <f ca="1">IFERROR(__xludf.DUMMYFUNCTION("""COMPUTED_VALUE"""),1)</f>
        <v>1</v>
      </c>
      <c r="CA2" s="41">
        <f ca="1">IFERROR(__xludf.DUMMYFUNCTION("""COMPUTED_VALUE"""),5)</f>
        <v>5</v>
      </c>
      <c r="CB2" s="41">
        <f ca="1">IFERROR(__xludf.DUMMYFUNCTION("""COMPUTED_VALUE"""),2)</f>
        <v>2</v>
      </c>
      <c r="CC2" s="42" t="str">
        <f ca="1">IFERROR(__xludf.DUMMYFUNCTION("""COMPUTED_VALUE"""),"https://drive.google.com/drive/folders/1EZpxEsBK5BtMAWsPzfMhTQetuO6G6PSj?usp=sharing")</f>
        <v>https://drive.google.com/drive/folders/1EZpxEsBK5BtMAWsPzfMhTQetuO6G6PSj?usp=sharing</v>
      </c>
      <c r="CD2" s="41">
        <f ca="1">IFERROR(__xludf.DUMMYFUNCTION("""COMPUTED_VALUE"""),1)</f>
        <v>1</v>
      </c>
      <c r="CE2" s="41">
        <f ca="1">IFERROR(__xludf.DUMMYFUNCTION("""COMPUTED_VALUE"""),5)</f>
        <v>5</v>
      </c>
      <c r="CF2" s="41">
        <f ca="1">IFERROR(__xludf.DUMMYFUNCTION("""COMPUTED_VALUE"""),2)</f>
        <v>2</v>
      </c>
      <c r="CG2" s="42" t="str">
        <f ca="1">IFERROR(__xludf.DUMMYFUNCTION("""COMPUTED_VALUE"""),"https://drive.google.com/drive/folders/1PZ-dZ6WkzEZT9FXw1xCT9nFo6qzAa8sd?usp=sharing")</f>
        <v>https://drive.google.com/drive/folders/1PZ-dZ6WkzEZT9FXw1xCT9nFo6qzAa8sd?usp=sharing</v>
      </c>
      <c r="CH2" s="41">
        <f ca="1">IFERROR(__xludf.DUMMYFUNCTION("""COMPUTED_VALUE"""),1)</f>
        <v>1</v>
      </c>
      <c r="CI2" s="41">
        <f ca="1">IFERROR(__xludf.DUMMYFUNCTION("""COMPUTED_VALUE"""),5)</f>
        <v>5</v>
      </c>
      <c r="CJ2" s="41">
        <f ca="1">IFERROR(__xludf.DUMMYFUNCTION("""COMPUTED_VALUE"""),2)</f>
        <v>2</v>
      </c>
      <c r="CK2" s="42" t="str">
        <f ca="1">IFERROR(__xludf.DUMMYFUNCTION("""COMPUTED_VALUE"""),"https://drive.google.com/drive/folders/1Vgmlv9fzfFhOuSYKzcUWptb7Qyl19Mwp?usp=sharing")</f>
        <v>https://drive.google.com/drive/folders/1Vgmlv9fzfFhOuSYKzcUWptb7Qyl19Mwp?usp=sharing</v>
      </c>
      <c r="CL2" s="41">
        <f ca="1">IFERROR(__xludf.DUMMYFUNCTION("""COMPUTED_VALUE"""),2)</f>
        <v>2</v>
      </c>
      <c r="CM2" s="41">
        <f ca="1">IFERROR(__xludf.DUMMYFUNCTION("""COMPUTED_VALUE"""),5)</f>
        <v>5</v>
      </c>
      <c r="CN2" s="41">
        <f ca="1">IFERROR(__xludf.DUMMYFUNCTION("""COMPUTED_VALUE"""),2)</f>
        <v>2</v>
      </c>
      <c r="CO2" s="42" t="str">
        <f ca="1">IFERROR(__xludf.DUMMYFUNCTION("""COMPUTED_VALUE"""),"https://drive.google.com/drive/folders/16vL21jWnRmNku0DBk0I4ExVNj1b8pMOY?usp=sharing")</f>
        <v>https://drive.google.com/drive/folders/16vL21jWnRmNku0DBk0I4ExVNj1b8pMOY?usp=sharing</v>
      </c>
      <c r="CP2" s="41">
        <f ca="1">IFERROR(__xludf.DUMMYFUNCTION("""COMPUTED_VALUE"""),1)</f>
        <v>1</v>
      </c>
      <c r="CQ2" s="41">
        <f ca="1">IFERROR(__xludf.DUMMYFUNCTION("""COMPUTED_VALUE"""),5)</f>
        <v>5</v>
      </c>
      <c r="CR2" s="41">
        <f ca="1">IFERROR(__xludf.DUMMYFUNCTION("""COMPUTED_VALUE"""),2)</f>
        <v>2</v>
      </c>
      <c r="CS2" s="42" t="str">
        <f ca="1">IFERROR(__xludf.DUMMYFUNCTION("""COMPUTED_VALUE"""),"https://drive.google.com/drive/folders/19W2ZtWYNWU04mlJeLrK6OGbbBIvIBdRd?usp=sharing")</f>
        <v>https://drive.google.com/drive/folders/19W2ZtWYNWU04mlJeLrK6OGbbBIvIBdRd?usp=sharing</v>
      </c>
      <c r="CT2" s="41">
        <f ca="1">IFERROR(__xludf.DUMMYFUNCTION("""COMPUTED_VALUE"""),2)</f>
        <v>2</v>
      </c>
      <c r="CU2" s="41">
        <f ca="1">IFERROR(__xludf.DUMMYFUNCTION("""COMPUTED_VALUE"""),5)</f>
        <v>5</v>
      </c>
      <c r="CV2" s="41">
        <f ca="1">IFERROR(__xludf.DUMMYFUNCTION("""COMPUTED_VALUE"""),3)</f>
        <v>3</v>
      </c>
      <c r="CW2" s="42" t="str">
        <f ca="1">IFERROR(__xludf.DUMMYFUNCTION("""COMPUTED_VALUE"""),"https://drive.google.com/drive/folders/1fBOJmCzjNpLW_o7FqF0T59Q6BAMfVIyP?usp=sharing")</f>
        <v>https://drive.google.com/drive/folders/1fBOJmCzjNpLW_o7FqF0T59Q6BAMfVIyP?usp=sharing</v>
      </c>
      <c r="CX2" s="41">
        <f ca="1">IFERROR(__xludf.DUMMYFUNCTION("""COMPUTED_VALUE"""),2)</f>
        <v>2</v>
      </c>
      <c r="CY2" s="41">
        <f ca="1">IFERROR(__xludf.DUMMYFUNCTION("""COMPUTED_VALUE"""),5)</f>
        <v>5</v>
      </c>
      <c r="CZ2" s="41">
        <f ca="1">IFERROR(__xludf.DUMMYFUNCTION("""COMPUTED_VALUE"""),3)</f>
        <v>3</v>
      </c>
      <c r="DA2" s="42" t="str">
        <f ca="1">IFERROR(__xludf.DUMMYFUNCTION("""COMPUTED_VALUE"""),"https://drive.google.com/drive/folders/1wiX3fL8MwwZrNJLzctJ7K5aVW2QYI2yn?usp=sharing")</f>
        <v>https://drive.google.com/drive/folders/1wiX3fL8MwwZrNJLzctJ7K5aVW2QYI2yn?usp=sharing</v>
      </c>
      <c r="DB2" s="41">
        <f ca="1">IFERROR(__xludf.DUMMYFUNCTION("""COMPUTED_VALUE"""),2)</f>
        <v>2</v>
      </c>
      <c r="DC2" s="41">
        <f ca="1">IFERROR(__xludf.DUMMYFUNCTION("""COMPUTED_VALUE"""),5)</f>
        <v>5</v>
      </c>
      <c r="DD2" s="41">
        <f ca="1">IFERROR(__xludf.DUMMYFUNCTION("""COMPUTED_VALUE"""),3)</f>
        <v>3</v>
      </c>
      <c r="DE2" s="42" t="str">
        <f ca="1">IFERROR(__xludf.DUMMYFUNCTION("""COMPUTED_VALUE"""),"https://drive.google.com/drive/folders/1VbrTab1y0J_fJaW0BxBaj7hIQgckTsMb?usp=sharing")</f>
        <v>https://drive.google.com/drive/folders/1VbrTab1y0J_fJaW0BxBaj7hIQgckTsMb?usp=sharing</v>
      </c>
      <c r="DF2" s="41">
        <f ca="1">IFERROR(__xludf.DUMMYFUNCTION("""COMPUTED_VALUE"""),2)</f>
        <v>2</v>
      </c>
      <c r="DG2" s="41">
        <f ca="1">IFERROR(__xludf.DUMMYFUNCTION("""COMPUTED_VALUE"""),5)</f>
        <v>5</v>
      </c>
      <c r="DH2" s="41">
        <f ca="1">IFERROR(__xludf.DUMMYFUNCTION("""COMPUTED_VALUE"""),3)</f>
        <v>3</v>
      </c>
      <c r="DI2" s="42" t="str">
        <f ca="1">IFERROR(__xludf.DUMMYFUNCTION("""COMPUTED_VALUE"""),"https://drive.google.com/drive/folders/1IgR9isWqYN1rdO5C-VoEEV7AxSd-9LPu?usp=sharing")</f>
        <v>https://drive.google.com/drive/folders/1IgR9isWqYN1rdO5C-VoEEV7AxSd-9LPu?usp=sharing</v>
      </c>
      <c r="DJ2" s="41">
        <f ca="1">IFERROR(__xludf.DUMMYFUNCTION("""COMPUTED_VALUE"""),2)</f>
        <v>2</v>
      </c>
      <c r="DK2" s="41">
        <f ca="1">IFERROR(__xludf.DUMMYFUNCTION("""COMPUTED_VALUE"""),5)</f>
        <v>5</v>
      </c>
      <c r="DL2" s="41">
        <f ca="1">IFERROR(__xludf.DUMMYFUNCTION("""COMPUTED_VALUE"""),3)</f>
        <v>3</v>
      </c>
      <c r="DM2" s="42" t="str">
        <f ca="1">IFERROR(__xludf.DUMMYFUNCTION("""COMPUTED_VALUE"""),"https://drive.google.com/drive/folders/1of10pGILtR8bXtYT9Re8gPGNXOLWNnss?usp=sharing")</f>
        <v>https://drive.google.com/drive/folders/1of10pGILtR8bXtYT9Re8gPGNXOLWNnss?usp=sharing</v>
      </c>
      <c r="DN2" s="41" t="str">
        <f ca="1">IFERROR(__xludf.DUMMYFUNCTION("""COMPUTED_VALUE"""),"AGAR DITINGKATKAN DI TRIWULAN SELANJUTNYA ")</f>
        <v xml:space="preserve">AGAR DITINGKATKAN DI TRIWULAN SELANJUTNYA </v>
      </c>
      <c r="DO2" s="44" t="e">
        <f t="array" aca="1" ref="DO2:DO10" ca="1">_xludf.SEQUENCE(COUNTA(A2:A10500),1)</f>
        <v>#NAME?</v>
      </c>
      <c r="DP2" s="45">
        <f t="array" aca="1" ref="DP2:DP10" ca="1">IF($A2:$A10500&lt;&gt;"", (
N2:N10500+R2:R10500+V2:V10500+Z2:Z10500+AD2:AD10500+AH2:AH10500+
AL2:AL10500+AP2:AP10500+AT2:AT10500+AX2:AX10500+
BB2:BB10500+BF2:BF10500+BJ2:BJ10500+
BN2:BN10500+BR2:BR10500+BV2:BV10500+
BZ2:BZ10500+CD2:CD10500+CH2:CH10500+CL2:CL10500+CP2:CP10500+
CT2:CT10500+CX2:CX10500+DB2:DB10500+DF2:DF10500+DJ2:DJ10500
)/26, "")</f>
        <v>1.3461538461538463</v>
      </c>
      <c r="DQ2" s="45">
        <f t="array" aca="1" ref="DQ2:DQ10" ca="1">IF($A2:$A10500&lt;&gt;"", (O2:O10500+S2:S10500+W2:W10500+AA2:AA10500+AE2:AE10500+AI2:AI10500+AM2:AM10500+AQ2:AQ10500+AU2:AU10500+AY2:AY10500+BC2:BC10500+BG2:BG10500+BK2:BK10500+BO2:BO10500+BS2:BS10500+BW2:BW10500+CA2:CA10500+CE2:CE10500+CI2:CI10500+CM2:CM10500+CQ2:CQ10500+CU2:CU10500+CY2:CY10500+DC2:DC10500+DG2:DG10500+DK2:DK10500)/26, "")</f>
        <v>5</v>
      </c>
      <c r="DR2" s="45">
        <f t="array" aca="1" ref="DR2:DR10" ca="1">IF($A2:$A10500&lt;&gt;"", (P2:P10500+T2:T10500+X2:X10500+AB2:AB10500+AF2:AF10500+AJ2:AJ10500+AN2:AN10500+AR2:AR10500+AV2:AV10500+AZ2:AZ10500+BD2:BD10500+BH2:BH10500+BL2:BL10500+BP2:BP10500+BT2:BT10500+BX2:BX10500+CB2:CB10500+CF2:CF10500+CJ2:CJ10500+CN2:CN10500+CR2:CR10500+CV2:CV10500+CZ2:CZ10500+DD2:DD10500+DH2:DH10500+DL2:DL10500)/26, "")</f>
        <v>2.3076923076923075</v>
      </c>
      <c r="DS2" s="45">
        <f t="array" aca="1" ref="DS2:DS10" ca="1">IF($A2:$A10500&lt;&gt;"", DR2:DR10500 - DP2:DP10500, "")</f>
        <v>0.96153846153846123</v>
      </c>
      <c r="DT2" s="47">
        <f t="array" aca="1" ref="DT2:DT10" ca="1">IF($A2:$A10500&lt;&gt;"", (N2:N10500+R2:R10500+V2:V10500+Z2:Z10500+AD2:AD10500+AH2:AH10500)/6, "")</f>
        <v>1.1666666666666667</v>
      </c>
      <c r="DU2" s="48">
        <f t="array" aca="1" ref="DU2:DU10" ca="1">IF($A2:$A10500&lt;&gt;"", (O2:O10500+S2:S10500+W2:W10500+AA2:AA10500+AE2:AE10500+AI2:AI10500)/6, "")</f>
        <v>5</v>
      </c>
      <c r="DV2" s="48">
        <f t="array" aca="1" ref="DV2:DV10" ca="1">IF($A2:$A10500&lt;&gt;"", (P2:P10500+T2:T10500+X2:X10500+AB2:AB10500+AF2:AF10500+AJ2:AJ10500)/6, "")</f>
        <v>2.1666666666666665</v>
      </c>
      <c r="DW2" s="49">
        <f t="array" aca="1" ref="DW2:DW10" ca="1">IF($A2:$A10500&lt;&gt;"", DV2:DV10500 - DT2:DT10500, "")</f>
        <v>0.99999999999999978</v>
      </c>
      <c r="DX2" s="50">
        <f t="array" aca="1" ref="DX2:DX10" ca="1">IF($A2:$A10500&lt;&gt;"", (
AL2:AL10500+AP2:AP10500+AT2:AT10500+AX2:AX10500
)/4, "")</f>
        <v>1</v>
      </c>
      <c r="DY2" s="50">
        <f t="array" aca="1" ref="DY2:DY10" ca="1">IF($A2:$A10500&lt;&gt;"", (
AM2:AM10500+AQ2:AQ10500+AU2:AU10500+AY2:AY10500
)/4, "")</f>
        <v>5</v>
      </c>
      <c r="DZ2" s="50">
        <f t="array" aca="1" ref="DZ2:DZ10" ca="1">IF($A2:$A10500&lt;&gt;"", (
AN2:AN10500+AR2:AR10500+AV2:AV10500+AZ2:AZ10500
)/4, "")</f>
        <v>2</v>
      </c>
      <c r="EA2" s="49">
        <f t="array" aca="1" ref="EA2:EA10" ca="1">IF($A2:$A10500&lt;&gt;"", DZ2:DZ10500 - DX2:DX10500, "")</f>
        <v>1</v>
      </c>
      <c r="EB2" s="51">
        <f t="array" aca="1" ref="EB2:EB10" ca="1">IF($A2:$A10500&lt;&gt;"", (
BB2:BB10500+BF2:BF10500+BJ2:BJ10500)/3, "")</f>
        <v>1.6666666666666667</v>
      </c>
      <c r="EC2" s="51">
        <f t="array" aca="1" ref="EC2:EC10" ca="1">IF($A2:$A10500&lt;&gt;"", (
BC2:BC10500+BG2:BG10500+BK2:BK10500)/3, "")</f>
        <v>5</v>
      </c>
      <c r="ED2" s="51">
        <f t="array" aca="1" ref="ED2:ED10" ca="1">IF($A2:$A10500&lt;&gt;"", (
BD2:BD10500+BH2:BH10500+BL2:BL10500)/3, "")</f>
        <v>2.6666666666666665</v>
      </c>
      <c r="EE2" s="49">
        <f t="array" aca="1" ref="EE2:EE10" ca="1">IF($A2:$A10500&lt;&gt;"", ED2:ED10500 - EB2:EB10500, "")</f>
        <v>0.99999999999999978</v>
      </c>
      <c r="EF2" s="52">
        <f t="array" aca="1" ref="EF2:EF10" ca="1">IF($A2:$A10500&lt;&gt;"", (
BN2:BN10500+BR2:BR10500+BV2:BV10500)/3, "")</f>
        <v>1</v>
      </c>
      <c r="EG2" s="52">
        <f t="array" aca="1" ref="EG2:EG10" ca="1">IF($A2:$A10500&lt;&gt;"", (
BO2:BO10500+BS2:BS10500+BW2:BW10500)/3, "")</f>
        <v>5</v>
      </c>
      <c r="EH2" s="52">
        <f t="array" aca="1" ref="EH2:EH10" ca="1">IF($A2:$A10500&lt;&gt;"", (
BP2:BP10500+BT2:BT10500+BX2:BX10500)/3, "")</f>
        <v>2</v>
      </c>
      <c r="EI2" s="49">
        <f t="array" aca="1" ref="EI2:EI10" ca="1">IF($A2:$A10500&lt;&gt;"", EH2:EH10500 - EF2:EF10500, "")</f>
        <v>1</v>
      </c>
      <c r="EJ2" s="53">
        <f t="array" aca="1" ref="EJ2:EJ10" ca="1">IF($A2:$A10500&lt;&gt;"", (
BZ2:BZ10500+CD2:CD10500+CH2:CH10500+CL2:CL10500+CP2:CP10500)/5, "")</f>
        <v>1.2</v>
      </c>
      <c r="EK2" s="53">
        <f t="array" aca="1" ref="EK2:EK10" ca="1">IF($A2:$A10500&lt;&gt;"", (
CA2:CA10500+CE2:CE10500+CI2:CI10500+CM2:CM10500+CQ2:CQ10500)/5, "")</f>
        <v>5</v>
      </c>
      <c r="EL2" s="53">
        <f t="array" aca="1" ref="EL2:EL10" ca="1">IF($A2:$A10500&lt;&gt;"", (
CB2:CB10500+CF2:CF10500+CJ2:CJ10500+CN2:CN10500+CR2:CR10500)/5, "")</f>
        <v>2</v>
      </c>
      <c r="EM2" s="49">
        <f t="array" aca="1" ref="EM2:EM10" ca="1">IF($A2:$A10500&lt;&gt;"", EL2:EL10500 - EJ2:EJ10500, "")</f>
        <v>0.8</v>
      </c>
      <c r="EN2" s="54">
        <f t="array" aca="1" ref="EN2:EN10" ca="1">IF($A2:$A10500&lt;&gt;"", (
CT2:CT10500+CX2:CX10500+DB2:DB10500+DF2:DF10500+DJ2:DJ10500)/5, "")</f>
        <v>2</v>
      </c>
      <c r="EO2" s="54">
        <f t="array" aca="1" ref="EO2:EO10" ca="1">IF($A2:$A10500&lt;&gt;"", (
CU2:CU10500+CY2:CY10500+DC2:DC10500+DG2:DG10500+DK2:DK10500)/5, "")</f>
        <v>5</v>
      </c>
      <c r="EP2" s="54">
        <f t="array" aca="1" ref="EP2:EP10" ca="1">IF($A2:$A10500&lt;&gt;"", (
CV2:CV10500+CZ2:CZ10500+DD2:DD10500+DH2:DH10500+DL2:DL10500)/5, "")</f>
        <v>3</v>
      </c>
      <c r="EQ2" s="49">
        <f t="array" aca="1" ref="EQ2:EQ10" ca="1">IF($A2:$A10500&lt;&gt;"", EP2:EP10500 - EN2:EN10500, "")</f>
        <v>1</v>
      </c>
    </row>
    <row r="3" spans="1:155" ht="15.75" customHeight="1" x14ac:dyDescent="0.3">
      <c r="A3" s="40">
        <f ca="1">IFERROR(__xludf.DUMMYFUNCTION("""COMPUTED_VALUE"""),46110.4270709722)</f>
        <v>46110.427070972197</v>
      </c>
      <c r="B3" s="41" t="str">
        <f ca="1">IFERROR(__xludf.DUMMYFUNCTION("""COMPUTED_VALUE"""),"linda.purba24@guru.sd.belajar.id")</f>
        <v>linda.purba24@guru.sd.belajar.id</v>
      </c>
      <c r="C3" s="41">
        <f ca="1">IFERROR(__xludf.DUMMYFUNCTION("""COMPUTED_VALUE"""),10200400)</f>
        <v>10200400</v>
      </c>
      <c r="D3" s="41" t="str">
        <f ca="1">IFERROR(__xludf.DUMMYFUNCTION("""COMPUTED_VALUE"""),"Bangun Purba")</f>
        <v>Bangun Purba</v>
      </c>
      <c r="E3" s="41" t="str">
        <f ca="1">IFERROR(__xludf.DUMMYFUNCTION("""COMPUTED_VALUE"""),"SD")</f>
        <v>SD</v>
      </c>
      <c r="F3" s="41" t="str">
        <f ca="1">IFERROR(__xludf.DUMMYFUNCTION("""COMPUTED_VALUE"""),"UPT SPF SD NEGERI 107432 BANGUN PURBA TENGAH")</f>
        <v>UPT SPF SD NEGERI 107432 BANGUN PURBA TENGAH</v>
      </c>
      <c r="G3" s="41" t="str">
        <f ca="1">IFERROR(__xludf.DUMMYFUNCTION("""COMPUTED_VALUE"""),"Linda Purba, S. Pd")</f>
        <v>Linda Purba, S. Pd</v>
      </c>
      <c r="H3" s="41" t="str">
        <f ca="1">IFERROR(__xludf.DUMMYFUNCTION("""COMPUTED_VALUE"""),"081397495277")</f>
        <v>081397495277</v>
      </c>
      <c r="I3" s="41" t="str">
        <f ca="1">IFERROR(__xludf.DUMMYFUNCTION("""COMPUTED_VALUE"""),"EMMELIA RISNAULI SARAGIH, S.Pd")</f>
        <v>EMMELIA RISNAULI SARAGIH, S.Pd</v>
      </c>
      <c r="J3" s="41" t="str">
        <f ca="1">IFERROR(__xludf.DUMMYFUNCTION("""COMPUTED_VALUE"""),"081362314176")</f>
        <v>081362314176</v>
      </c>
      <c r="K3" s="41" t="str">
        <f ca="1">IFERROR(__xludf.DUMMYFUNCTION("""COMPUTED_VALUE"""),"TW1")</f>
        <v>TW1</v>
      </c>
      <c r="L3" s="41" t="str">
        <f ca="1">IFERROR(__xludf.DUMMYFUNCTION("""COMPUTED_VALUE"""),"Maret")</f>
        <v>Maret</v>
      </c>
      <c r="M3" s="41" t="str">
        <f ca="1">IFERROR(__xludf.DUMMYFUNCTION("""COMPUTED_VALUE"""),"IV")</f>
        <v>IV</v>
      </c>
      <c r="N3" s="41">
        <f ca="1">IFERROR(__xludf.DUMMYFUNCTION("""COMPUTED_VALUE"""),2)</f>
        <v>2</v>
      </c>
      <c r="O3" s="41">
        <f ca="1">IFERROR(__xludf.DUMMYFUNCTION("""COMPUTED_VALUE"""),5)</f>
        <v>5</v>
      </c>
      <c r="P3" s="41">
        <f ca="1">IFERROR(__xludf.DUMMYFUNCTION("""COMPUTED_VALUE"""),3)</f>
        <v>3</v>
      </c>
      <c r="Q3" s="42" t="str">
        <f ca="1">IFERROR(__xludf.DUMMYFUNCTION("""COMPUTED_VALUE"""),"https://drive.google.com/drive/folders/1gGCYSp7oRN_v8o65-jaDYXM6sz6unm2Z?usp=sharing")</f>
        <v>https://drive.google.com/drive/folders/1gGCYSp7oRN_v8o65-jaDYXM6sz6unm2Z?usp=sharing</v>
      </c>
      <c r="R3" s="41">
        <f ca="1">IFERROR(__xludf.DUMMYFUNCTION("""COMPUTED_VALUE"""),1)</f>
        <v>1</v>
      </c>
      <c r="S3" s="41">
        <f ca="1">IFERROR(__xludf.DUMMYFUNCTION("""COMPUTED_VALUE"""),5)</f>
        <v>5</v>
      </c>
      <c r="T3" s="41">
        <f ca="1">IFERROR(__xludf.DUMMYFUNCTION("""COMPUTED_VALUE"""),2)</f>
        <v>2</v>
      </c>
      <c r="U3" s="42" t="str">
        <f ca="1">IFERROR(__xludf.DUMMYFUNCTION("""COMPUTED_VALUE"""),"https://drive.google.com/drive/folders/1NKAkwLo3U8RutPQ-hY_S4Q_ax0OUJbVK?usp=sharing")</f>
        <v>https://drive.google.com/drive/folders/1NKAkwLo3U8RutPQ-hY_S4Q_ax0OUJbVK?usp=sharing</v>
      </c>
      <c r="V3" s="41">
        <f ca="1">IFERROR(__xludf.DUMMYFUNCTION("""COMPUTED_VALUE"""),1)</f>
        <v>1</v>
      </c>
      <c r="W3" s="41">
        <f ca="1">IFERROR(__xludf.DUMMYFUNCTION("""COMPUTED_VALUE"""),5)</f>
        <v>5</v>
      </c>
      <c r="X3" s="41">
        <f ca="1">IFERROR(__xludf.DUMMYFUNCTION("""COMPUTED_VALUE"""),2)</f>
        <v>2</v>
      </c>
      <c r="Y3" s="42" t="str">
        <f ca="1">IFERROR(__xludf.DUMMYFUNCTION("""COMPUTED_VALUE"""),"https://drive.google.com/drive/folders/1I7My7T-fS4o9hOtwH4VihfwuG2SuyMRR?usp=sharing")</f>
        <v>https://drive.google.com/drive/folders/1I7My7T-fS4o9hOtwH4VihfwuG2SuyMRR?usp=sharing</v>
      </c>
      <c r="Z3" s="41">
        <f ca="1">IFERROR(__xludf.DUMMYFUNCTION("""COMPUTED_VALUE"""),2)</f>
        <v>2</v>
      </c>
      <c r="AA3" s="41">
        <f ca="1">IFERROR(__xludf.DUMMYFUNCTION("""COMPUTED_VALUE"""),5)</f>
        <v>5</v>
      </c>
      <c r="AB3" s="41">
        <f ca="1">IFERROR(__xludf.DUMMYFUNCTION("""COMPUTED_VALUE"""),3)</f>
        <v>3</v>
      </c>
      <c r="AC3" s="42" t="str">
        <f ca="1">IFERROR(__xludf.DUMMYFUNCTION("""COMPUTED_VALUE"""),"https://drive.google.com/drive/folders/1_VO5d6ed2JJSkvm2xhpb7TZ8zoGLjTAB?usp=sharing")</f>
        <v>https://drive.google.com/drive/folders/1_VO5d6ed2JJSkvm2xhpb7TZ8zoGLjTAB?usp=sharing</v>
      </c>
      <c r="AD3" s="41">
        <f ca="1">IFERROR(__xludf.DUMMYFUNCTION("""COMPUTED_VALUE"""),1)</f>
        <v>1</v>
      </c>
      <c r="AE3" s="41">
        <f ca="1">IFERROR(__xludf.DUMMYFUNCTION("""COMPUTED_VALUE"""),5)</f>
        <v>5</v>
      </c>
      <c r="AF3" s="41">
        <f ca="1">IFERROR(__xludf.DUMMYFUNCTION("""COMPUTED_VALUE"""),2)</f>
        <v>2</v>
      </c>
      <c r="AG3" s="42" t="str">
        <f ca="1">IFERROR(__xludf.DUMMYFUNCTION("""COMPUTED_VALUE"""),"https://drive.google.com/drive/folders/1_qxqYXYYVKX2dJ9T21ygvZHil8rp6ymv?usp=sharing")</f>
        <v>https://drive.google.com/drive/folders/1_qxqYXYYVKX2dJ9T21ygvZHil8rp6ymv?usp=sharing</v>
      </c>
      <c r="AH3" s="41">
        <f ca="1">IFERROR(__xludf.DUMMYFUNCTION("""COMPUTED_VALUE"""),1)</f>
        <v>1</v>
      </c>
      <c r="AI3" s="41">
        <f ca="1">IFERROR(__xludf.DUMMYFUNCTION("""COMPUTED_VALUE"""),5)</f>
        <v>5</v>
      </c>
      <c r="AJ3" s="41">
        <f ca="1">IFERROR(__xludf.DUMMYFUNCTION("""COMPUTED_VALUE"""),2)</f>
        <v>2</v>
      </c>
      <c r="AK3" s="42" t="str">
        <f ca="1">IFERROR(__xludf.DUMMYFUNCTION("""COMPUTED_VALUE"""),"https://drive.google.com/drive/folders/1prXgtiyoJzCt66CWu7MuCmRMpi56uXdn?usp=sharing")</f>
        <v>https://drive.google.com/drive/folders/1prXgtiyoJzCt66CWu7MuCmRMpi56uXdn?usp=sharing</v>
      </c>
      <c r="AL3" s="41">
        <f ca="1">IFERROR(__xludf.DUMMYFUNCTION("""COMPUTED_VALUE"""),1)</f>
        <v>1</v>
      </c>
      <c r="AM3" s="41">
        <f ca="1">IFERROR(__xludf.DUMMYFUNCTION("""COMPUTED_VALUE"""),5)</f>
        <v>5</v>
      </c>
      <c r="AN3" s="41">
        <f ca="1">IFERROR(__xludf.DUMMYFUNCTION("""COMPUTED_VALUE"""),2)</f>
        <v>2</v>
      </c>
      <c r="AO3" s="42" t="str">
        <f ca="1">IFERROR(__xludf.DUMMYFUNCTION("""COMPUTED_VALUE"""),"https://drive.google.com/drive/folders/1HF3J2DvBZ5Ggjcqp3RihLsKiTk0m3cZl?usp=sharing")</f>
        <v>https://drive.google.com/drive/folders/1HF3J2DvBZ5Ggjcqp3RihLsKiTk0m3cZl?usp=sharing</v>
      </c>
      <c r="AP3" s="41">
        <f ca="1">IFERROR(__xludf.DUMMYFUNCTION("""COMPUTED_VALUE"""),1)</f>
        <v>1</v>
      </c>
      <c r="AQ3" s="41">
        <f ca="1">IFERROR(__xludf.DUMMYFUNCTION("""COMPUTED_VALUE"""),5)</f>
        <v>5</v>
      </c>
      <c r="AR3" s="41">
        <f ca="1">IFERROR(__xludf.DUMMYFUNCTION("""COMPUTED_VALUE"""),2)</f>
        <v>2</v>
      </c>
      <c r="AS3" s="42" t="str">
        <f ca="1">IFERROR(__xludf.DUMMYFUNCTION("""COMPUTED_VALUE"""),"https://drive.google.com/drive/folders/1eCacD-1yUMYnb3adc9mobeVpxfuSOFke?usp=sharing")</f>
        <v>https://drive.google.com/drive/folders/1eCacD-1yUMYnb3adc9mobeVpxfuSOFke?usp=sharing</v>
      </c>
      <c r="AT3" s="41">
        <f ca="1">IFERROR(__xludf.DUMMYFUNCTION("""COMPUTED_VALUE"""),1)</f>
        <v>1</v>
      </c>
      <c r="AU3" s="41">
        <f ca="1">IFERROR(__xludf.DUMMYFUNCTION("""COMPUTED_VALUE"""),5)</f>
        <v>5</v>
      </c>
      <c r="AV3" s="41">
        <f ca="1">IFERROR(__xludf.DUMMYFUNCTION("""COMPUTED_VALUE"""),2)</f>
        <v>2</v>
      </c>
      <c r="AW3" s="42" t="str">
        <f ca="1">IFERROR(__xludf.DUMMYFUNCTION("""COMPUTED_VALUE"""),"https://drive.google.com/drive/folders/1R2ablrk9snbgfeAmT4kVMLtjnbL8H6YV?usp=sharing")</f>
        <v>https://drive.google.com/drive/folders/1R2ablrk9snbgfeAmT4kVMLtjnbL8H6YV?usp=sharing</v>
      </c>
      <c r="AX3" s="41">
        <f ca="1">IFERROR(__xludf.DUMMYFUNCTION("""COMPUTED_VALUE"""),1)</f>
        <v>1</v>
      </c>
      <c r="AY3" s="41">
        <f ca="1">IFERROR(__xludf.DUMMYFUNCTION("""COMPUTED_VALUE"""),5)</f>
        <v>5</v>
      </c>
      <c r="AZ3" s="41">
        <f ca="1">IFERROR(__xludf.DUMMYFUNCTION("""COMPUTED_VALUE"""),2)</f>
        <v>2</v>
      </c>
      <c r="BA3" s="42" t="str">
        <f ca="1">IFERROR(__xludf.DUMMYFUNCTION("""COMPUTED_VALUE"""),"https://drive.google.com/drive/folders/1glrgu18zxg4a68E5FHVz_hpxBuzh0S_I?usp=sharing")</f>
        <v>https://drive.google.com/drive/folders/1glrgu18zxg4a68E5FHVz_hpxBuzh0S_I?usp=sharing</v>
      </c>
      <c r="BB3" s="41">
        <f ca="1">IFERROR(__xludf.DUMMYFUNCTION("""COMPUTED_VALUE"""),1)</f>
        <v>1</v>
      </c>
      <c r="BC3" s="41">
        <f ca="1">IFERROR(__xludf.DUMMYFUNCTION("""COMPUTED_VALUE"""),5)</f>
        <v>5</v>
      </c>
      <c r="BD3" s="41">
        <f ca="1">IFERROR(__xludf.DUMMYFUNCTION("""COMPUTED_VALUE"""),2)</f>
        <v>2</v>
      </c>
      <c r="BE3" s="42" t="str">
        <f ca="1">IFERROR(__xludf.DUMMYFUNCTION("""COMPUTED_VALUE"""),"https://drive.google.com/drive/folders/1uALe8OSs1qNYnzNKvTpT3mYrA9vxqphf?usp=sharing")</f>
        <v>https://drive.google.com/drive/folders/1uALe8OSs1qNYnzNKvTpT3mYrA9vxqphf?usp=sharing</v>
      </c>
      <c r="BF3" s="41">
        <f ca="1">IFERROR(__xludf.DUMMYFUNCTION("""COMPUTED_VALUE"""),1)</f>
        <v>1</v>
      </c>
      <c r="BG3" s="41">
        <f ca="1">IFERROR(__xludf.DUMMYFUNCTION("""COMPUTED_VALUE"""),5)</f>
        <v>5</v>
      </c>
      <c r="BH3" s="41">
        <f ca="1">IFERROR(__xludf.DUMMYFUNCTION("""COMPUTED_VALUE"""),2)</f>
        <v>2</v>
      </c>
      <c r="BI3" s="42" t="str">
        <f ca="1">IFERROR(__xludf.DUMMYFUNCTION("""COMPUTED_VALUE"""),"https://drive.google.com/drive/folders/18g-c8r3hMcsWeJ8Ih1Wz0qOOR5Nlk87P?usp=sharing")</f>
        <v>https://drive.google.com/drive/folders/18g-c8r3hMcsWeJ8Ih1Wz0qOOR5Nlk87P?usp=sharing</v>
      </c>
      <c r="BJ3" s="41">
        <f ca="1">IFERROR(__xludf.DUMMYFUNCTION("""COMPUTED_VALUE"""),2)</f>
        <v>2</v>
      </c>
      <c r="BK3" s="41">
        <f ca="1">IFERROR(__xludf.DUMMYFUNCTION("""COMPUTED_VALUE"""),5)</f>
        <v>5</v>
      </c>
      <c r="BL3" s="41">
        <f ca="1">IFERROR(__xludf.DUMMYFUNCTION("""COMPUTED_VALUE"""),3)</f>
        <v>3</v>
      </c>
      <c r="BM3" s="42" t="str">
        <f ca="1">IFERROR(__xludf.DUMMYFUNCTION("""COMPUTED_VALUE"""),"https://drive.google.com/drive/folders/1cL_CtEBy0RB6pvlml9OdbQEVRrxhZS39?usp=sharing")</f>
        <v>https://drive.google.com/drive/folders/1cL_CtEBy0RB6pvlml9OdbQEVRrxhZS39?usp=sharing</v>
      </c>
      <c r="BN3" s="41">
        <f ca="1">IFERROR(__xludf.DUMMYFUNCTION("""COMPUTED_VALUE"""),1)</f>
        <v>1</v>
      </c>
      <c r="BO3" s="41">
        <f ca="1">IFERROR(__xludf.DUMMYFUNCTION("""COMPUTED_VALUE"""),5)</f>
        <v>5</v>
      </c>
      <c r="BP3" s="41">
        <f ca="1">IFERROR(__xludf.DUMMYFUNCTION("""COMPUTED_VALUE"""),2)</f>
        <v>2</v>
      </c>
      <c r="BQ3" s="42" t="str">
        <f ca="1">IFERROR(__xludf.DUMMYFUNCTION("""COMPUTED_VALUE"""),"https://drive.google.com/drive/folders/1x5UZEghJa-Tv0ei-y84HqCkOE-hav0bk?usp=sharing")</f>
        <v>https://drive.google.com/drive/folders/1x5UZEghJa-Tv0ei-y84HqCkOE-hav0bk?usp=sharing</v>
      </c>
      <c r="BR3" s="41">
        <f ca="1">IFERROR(__xludf.DUMMYFUNCTION("""COMPUTED_VALUE"""),1)</f>
        <v>1</v>
      </c>
      <c r="BS3" s="41">
        <f ca="1">IFERROR(__xludf.DUMMYFUNCTION("""COMPUTED_VALUE"""),5)</f>
        <v>5</v>
      </c>
      <c r="BT3" s="41">
        <f ca="1">IFERROR(__xludf.DUMMYFUNCTION("""COMPUTED_VALUE"""),2)</f>
        <v>2</v>
      </c>
      <c r="BU3" s="42" t="str">
        <f ca="1">IFERROR(__xludf.DUMMYFUNCTION("""COMPUTED_VALUE"""),"https://drive.google.com/drive/folders/1CtXYLgMLDMMr0Tr7JZBuil82FbjUZdlA?usp=sharing")</f>
        <v>https://drive.google.com/drive/folders/1CtXYLgMLDMMr0Tr7JZBuil82FbjUZdlA?usp=sharing</v>
      </c>
      <c r="BV3" s="41">
        <f ca="1">IFERROR(__xludf.DUMMYFUNCTION("""COMPUTED_VALUE"""),1)</f>
        <v>1</v>
      </c>
      <c r="BW3" s="41">
        <f ca="1">IFERROR(__xludf.DUMMYFUNCTION("""COMPUTED_VALUE"""),5)</f>
        <v>5</v>
      </c>
      <c r="BX3" s="41">
        <f ca="1">IFERROR(__xludf.DUMMYFUNCTION("""COMPUTED_VALUE"""),2)</f>
        <v>2</v>
      </c>
      <c r="BY3" s="43" t="str">
        <f ca="1">IFERROR(__xludf.DUMMYFUNCTION("""COMPUTED_VALUE"""),"https://drive.google.com/drive/folders/1EWEDuwdnG-9As9JiK6gNPHhHZiAp5QUh?usp=sharing")</f>
        <v>https://drive.google.com/drive/folders/1EWEDuwdnG-9As9JiK6gNPHhHZiAp5QUh?usp=sharing</v>
      </c>
      <c r="BZ3" s="41">
        <f ca="1">IFERROR(__xludf.DUMMYFUNCTION("""COMPUTED_VALUE"""),1)</f>
        <v>1</v>
      </c>
      <c r="CA3" s="41">
        <f ca="1">IFERROR(__xludf.DUMMYFUNCTION("""COMPUTED_VALUE"""),5)</f>
        <v>5</v>
      </c>
      <c r="CB3" s="41">
        <f ca="1">IFERROR(__xludf.DUMMYFUNCTION("""COMPUTED_VALUE"""),2)</f>
        <v>2</v>
      </c>
      <c r="CC3" s="42" t="str">
        <f ca="1">IFERROR(__xludf.DUMMYFUNCTION("""COMPUTED_VALUE"""),"https://drive.google.com/drive/folders/18qcgFcmR6kkThbFDMoAJdgdbxGZ7MmOF?usp=sharing")</f>
        <v>https://drive.google.com/drive/folders/18qcgFcmR6kkThbFDMoAJdgdbxGZ7MmOF?usp=sharing</v>
      </c>
      <c r="CD3" s="41">
        <f ca="1">IFERROR(__xludf.DUMMYFUNCTION("""COMPUTED_VALUE"""),1)</f>
        <v>1</v>
      </c>
      <c r="CE3" s="41">
        <f ca="1">IFERROR(__xludf.DUMMYFUNCTION("""COMPUTED_VALUE"""),5)</f>
        <v>5</v>
      </c>
      <c r="CF3" s="41">
        <f ca="1">IFERROR(__xludf.DUMMYFUNCTION("""COMPUTED_VALUE"""),2)</f>
        <v>2</v>
      </c>
      <c r="CG3" s="42" t="str">
        <f ca="1">IFERROR(__xludf.DUMMYFUNCTION("""COMPUTED_VALUE"""),"https://drive.google.com/drive/folders/1lpQyAJXzVGE9CzH_bkvULR8neq5tFGvg?usp=sharing")</f>
        <v>https://drive.google.com/drive/folders/1lpQyAJXzVGE9CzH_bkvULR8neq5tFGvg?usp=sharing</v>
      </c>
      <c r="CH3" s="41">
        <f ca="1">IFERROR(__xludf.DUMMYFUNCTION("""COMPUTED_VALUE"""),1)</f>
        <v>1</v>
      </c>
      <c r="CI3" s="41">
        <f ca="1">IFERROR(__xludf.DUMMYFUNCTION("""COMPUTED_VALUE"""),5)</f>
        <v>5</v>
      </c>
      <c r="CJ3" s="41">
        <f ca="1">IFERROR(__xludf.DUMMYFUNCTION("""COMPUTED_VALUE"""),2)</f>
        <v>2</v>
      </c>
      <c r="CK3" s="42" t="str">
        <f ca="1">IFERROR(__xludf.DUMMYFUNCTION("""COMPUTED_VALUE"""),"https://drive.google.com/drive/folders/1f4cFmkQ7-vNQNim6J1GCAaIdwL3U9dEH?usp=sharing")</f>
        <v>https://drive.google.com/drive/folders/1f4cFmkQ7-vNQNim6J1GCAaIdwL3U9dEH?usp=sharing</v>
      </c>
      <c r="CL3" s="41">
        <f ca="1">IFERROR(__xludf.DUMMYFUNCTION("""COMPUTED_VALUE"""),2)</f>
        <v>2</v>
      </c>
      <c r="CM3" s="41">
        <f ca="1">IFERROR(__xludf.DUMMYFUNCTION("""COMPUTED_VALUE"""),5)</f>
        <v>5</v>
      </c>
      <c r="CN3" s="41">
        <f ca="1">IFERROR(__xludf.DUMMYFUNCTION("""COMPUTED_VALUE"""),3)</f>
        <v>3</v>
      </c>
      <c r="CO3" s="42" t="str">
        <f ca="1">IFERROR(__xludf.DUMMYFUNCTION("""COMPUTED_VALUE"""),"https://drive.google.com/drive/folders/1RSlmVFMPu5NNa-lSRKEelMS2WSbdpufD?usp=sharing")</f>
        <v>https://drive.google.com/drive/folders/1RSlmVFMPu5NNa-lSRKEelMS2WSbdpufD?usp=sharing</v>
      </c>
      <c r="CP3" s="41">
        <f ca="1">IFERROR(__xludf.DUMMYFUNCTION("""COMPUTED_VALUE"""),1)</f>
        <v>1</v>
      </c>
      <c r="CQ3" s="41">
        <f ca="1">IFERROR(__xludf.DUMMYFUNCTION("""COMPUTED_VALUE"""),5)</f>
        <v>5</v>
      </c>
      <c r="CR3" s="41">
        <f ca="1">IFERROR(__xludf.DUMMYFUNCTION("""COMPUTED_VALUE"""),2)</f>
        <v>2</v>
      </c>
      <c r="CS3" s="42" t="str">
        <f ca="1">IFERROR(__xludf.DUMMYFUNCTION("""COMPUTED_VALUE"""),"https://drive.google.com/drive/folders/1QpU2hD-M4zvyHz5xJBrVpKhGA6NEzdgo?usp=sharing")</f>
        <v>https://drive.google.com/drive/folders/1QpU2hD-M4zvyHz5xJBrVpKhGA6NEzdgo?usp=sharing</v>
      </c>
      <c r="CT3" s="41">
        <f ca="1">IFERROR(__xludf.DUMMYFUNCTION("""COMPUTED_VALUE"""),1)</f>
        <v>1</v>
      </c>
      <c r="CU3" s="41">
        <f ca="1">IFERROR(__xludf.DUMMYFUNCTION("""COMPUTED_VALUE"""),5)</f>
        <v>5</v>
      </c>
      <c r="CV3" s="41">
        <f ca="1">IFERROR(__xludf.DUMMYFUNCTION("""COMPUTED_VALUE"""),2)</f>
        <v>2</v>
      </c>
      <c r="CW3" s="42" t="str">
        <f ca="1">IFERROR(__xludf.DUMMYFUNCTION("""COMPUTED_VALUE"""),"https://drive.google.com/drive/folders/1bLWItWWAo3G5VMja4RN_wM549r1OQ7zB?usp=sharing")</f>
        <v>https://drive.google.com/drive/folders/1bLWItWWAo3G5VMja4RN_wM549r1OQ7zB?usp=sharing</v>
      </c>
      <c r="CX3" s="41">
        <f ca="1">IFERROR(__xludf.DUMMYFUNCTION("""COMPUTED_VALUE"""),2)</f>
        <v>2</v>
      </c>
      <c r="CY3" s="41">
        <f ca="1">IFERROR(__xludf.DUMMYFUNCTION("""COMPUTED_VALUE"""),5)</f>
        <v>5</v>
      </c>
      <c r="CZ3" s="41">
        <f ca="1">IFERROR(__xludf.DUMMYFUNCTION("""COMPUTED_VALUE"""),3)</f>
        <v>3</v>
      </c>
      <c r="DA3" s="42" t="str">
        <f ca="1">IFERROR(__xludf.DUMMYFUNCTION("""COMPUTED_VALUE"""),"https://drive.google.com/drive/folders/1OweBKiJ3fhRZHr0RVZ3RUSEjGg-HyfS8?usp=sharing")</f>
        <v>https://drive.google.com/drive/folders/1OweBKiJ3fhRZHr0RVZ3RUSEjGg-HyfS8?usp=sharing</v>
      </c>
      <c r="DB3" s="41">
        <f ca="1">IFERROR(__xludf.DUMMYFUNCTION("""COMPUTED_VALUE"""),2)</f>
        <v>2</v>
      </c>
      <c r="DC3" s="41">
        <f ca="1">IFERROR(__xludf.DUMMYFUNCTION("""COMPUTED_VALUE"""),5)</f>
        <v>5</v>
      </c>
      <c r="DD3" s="41">
        <f ca="1">IFERROR(__xludf.DUMMYFUNCTION("""COMPUTED_VALUE"""),3)</f>
        <v>3</v>
      </c>
      <c r="DE3" s="42" t="str">
        <f ca="1">IFERROR(__xludf.DUMMYFUNCTION("""COMPUTED_VALUE"""),"https://drive.google.com/drive/folders/1OweBKiJ3fhRZHr0RVZ3RUSEjGg-HyfS8?usp=sharing")</f>
        <v>https://drive.google.com/drive/folders/1OweBKiJ3fhRZHr0RVZ3RUSEjGg-HyfS8?usp=sharing</v>
      </c>
      <c r="DF3" s="41">
        <f ca="1">IFERROR(__xludf.DUMMYFUNCTION("""COMPUTED_VALUE"""),2)</f>
        <v>2</v>
      </c>
      <c r="DG3" s="41">
        <f ca="1">IFERROR(__xludf.DUMMYFUNCTION("""COMPUTED_VALUE"""),5)</f>
        <v>5</v>
      </c>
      <c r="DH3" s="41">
        <f ca="1">IFERROR(__xludf.DUMMYFUNCTION("""COMPUTED_VALUE"""),3)</f>
        <v>3</v>
      </c>
      <c r="DI3" s="42" t="str">
        <f ca="1">IFERROR(__xludf.DUMMYFUNCTION("""COMPUTED_VALUE"""),"https://drive.google.com/drive/folders/1x40d817xIlwIN7o7MfHc9KsMq2t7SttF?usp=sharing")</f>
        <v>https://drive.google.com/drive/folders/1x40d817xIlwIN7o7MfHc9KsMq2t7SttF?usp=sharing</v>
      </c>
      <c r="DJ3" s="41">
        <f ca="1">IFERROR(__xludf.DUMMYFUNCTION("""COMPUTED_VALUE"""),2)</f>
        <v>2</v>
      </c>
      <c r="DK3" s="41">
        <f ca="1">IFERROR(__xludf.DUMMYFUNCTION("""COMPUTED_VALUE"""),5)</f>
        <v>5</v>
      </c>
      <c r="DL3" s="41">
        <f ca="1">IFERROR(__xludf.DUMMYFUNCTION("""COMPUTED_VALUE"""),3)</f>
        <v>3</v>
      </c>
      <c r="DM3" s="42" t="str">
        <f ca="1">IFERROR(__xludf.DUMMYFUNCTION("""COMPUTED_VALUE"""),"https://drive.google.com/drive/folders/1XxrUk4kKg06eKvwbNiAghKx9YdJaJ5WY?usp=sharing")</f>
        <v>https://drive.google.com/drive/folders/1XxrUk4kKg06eKvwbNiAghKx9YdJaJ5WY?usp=sharing</v>
      </c>
      <c r="DN3" s="41" t="str">
        <f ca="1">IFERROR(__xludf.DUMMYFUNCTION("""COMPUTED_VALUE"""),"MOHON DI KOREKSI LAGI DALAM PENGISIAN ISTRUMEN DAN DOKUMENTASI SASARAN KINERJA KEPALA SEKOLAH")</f>
        <v>MOHON DI KOREKSI LAGI DALAM PENGISIAN ISTRUMEN DAN DOKUMENTASI SASARAN KINERJA KEPALA SEKOLAH</v>
      </c>
      <c r="DO3" s="44" t="e">
        <f ca="1"/>
        <v>#NAME?</v>
      </c>
      <c r="DP3" s="45">
        <f ca="1"/>
        <v>1.3076923076923077</v>
      </c>
      <c r="DQ3" s="45">
        <f ca="1"/>
        <v>5</v>
      </c>
      <c r="DR3" s="45">
        <f ca="1"/>
        <v>2.3076923076923075</v>
      </c>
      <c r="DS3" s="45">
        <f ca="1"/>
        <v>0.99999999999999978</v>
      </c>
      <c r="DT3" s="47">
        <f ca="1"/>
        <v>1.3333333333333333</v>
      </c>
      <c r="DU3" s="48">
        <f ca="1"/>
        <v>5</v>
      </c>
      <c r="DV3" s="48">
        <f ca="1"/>
        <v>2.3333333333333335</v>
      </c>
      <c r="DW3" s="48">
        <f ca="1"/>
        <v>1.0000000000000002</v>
      </c>
      <c r="DX3" s="50">
        <f ca="1"/>
        <v>1</v>
      </c>
      <c r="DY3" s="48">
        <f ca="1"/>
        <v>5</v>
      </c>
      <c r="DZ3" s="48">
        <f ca="1"/>
        <v>2</v>
      </c>
      <c r="EA3" s="48">
        <f ca="1"/>
        <v>1</v>
      </c>
      <c r="EB3" s="51">
        <f ca="1"/>
        <v>1.3333333333333333</v>
      </c>
      <c r="EC3" s="48">
        <f ca="1"/>
        <v>5</v>
      </c>
      <c r="ED3" s="48">
        <f ca="1"/>
        <v>2.3333333333333335</v>
      </c>
      <c r="EE3" s="48">
        <f ca="1"/>
        <v>1.0000000000000002</v>
      </c>
      <c r="EF3" s="52">
        <f ca="1"/>
        <v>1</v>
      </c>
      <c r="EG3" s="48">
        <f ca="1"/>
        <v>5</v>
      </c>
      <c r="EH3" s="48">
        <f ca="1"/>
        <v>2</v>
      </c>
      <c r="EI3" s="48">
        <f ca="1"/>
        <v>1</v>
      </c>
      <c r="EJ3" s="53">
        <f ca="1"/>
        <v>1.2</v>
      </c>
      <c r="EK3" s="48">
        <f ca="1"/>
        <v>5</v>
      </c>
      <c r="EL3" s="48">
        <f ca="1"/>
        <v>2.2000000000000002</v>
      </c>
      <c r="EM3" s="48">
        <f ca="1"/>
        <v>1.0000000000000002</v>
      </c>
      <c r="EN3" s="54">
        <f ca="1"/>
        <v>1.8</v>
      </c>
      <c r="EO3" s="48">
        <f ca="1"/>
        <v>5</v>
      </c>
      <c r="EP3" s="48">
        <f ca="1"/>
        <v>2.8</v>
      </c>
      <c r="EQ3" s="48">
        <f ca="1"/>
        <v>0.99999999999999978</v>
      </c>
    </row>
    <row r="4" spans="1:155" ht="15.75" customHeight="1" x14ac:dyDescent="0.3">
      <c r="A4" s="40">
        <f ca="1">IFERROR(__xludf.DUMMYFUNCTION("""COMPUTED_VALUE"""),46110.4354911342)</f>
        <v>46110.435491134202</v>
      </c>
      <c r="B4" s="41" t="str">
        <f ca="1">IFERROR(__xludf.DUMMYFUNCTION("""COMPUTED_VALUE"""),"sentosaperangin-angin843@dinas.belajar.id")</f>
        <v>sentosaperangin-angin843@dinas.belajar.id</v>
      </c>
      <c r="C4" s="41">
        <f ca="1">IFERROR(__xludf.DUMMYFUNCTION("""COMPUTED_VALUE"""),10213238)</f>
        <v>10213238</v>
      </c>
      <c r="D4" s="41" t="str">
        <f ca="1">IFERROR(__xludf.DUMMYFUNCTION("""COMPUTED_VALUE"""),"Bangun Purba")</f>
        <v>Bangun Purba</v>
      </c>
      <c r="E4" s="41" t="str">
        <f ca="1">IFERROR(__xludf.DUMMYFUNCTION("""COMPUTED_VALUE"""),"SD")</f>
        <v>SD</v>
      </c>
      <c r="F4" s="41" t="str">
        <f ca="1">IFERROR(__xludf.DUMMYFUNCTION("""COMPUTED_VALUE"""),"UPT SPF SD NEGERI 101990 BANGUN PURBA")</f>
        <v>UPT SPF SD NEGERI 101990 BANGUN PURBA</v>
      </c>
      <c r="G4" s="41" t="str">
        <f ca="1">IFERROR(__xludf.DUMMYFUNCTION("""COMPUTED_VALUE"""),"Sentosa Perangin angin, S.Pd")</f>
        <v>Sentosa Perangin angin, S.Pd</v>
      </c>
      <c r="H4" s="41" t="str">
        <f ca="1">IFERROR(__xludf.DUMMYFUNCTION("""COMPUTED_VALUE"""),"082364981701")</f>
        <v>082364981701</v>
      </c>
      <c r="I4" s="41" t="str">
        <f ca="1">IFERROR(__xludf.DUMMYFUNCTION("""COMPUTED_VALUE"""),"ROHANI BR PURBA,M.Si")</f>
        <v>ROHANI BR PURBA,M.Si</v>
      </c>
      <c r="J4" s="41" t="str">
        <f ca="1">IFERROR(__xludf.DUMMYFUNCTION("""COMPUTED_VALUE"""),"081263882568")</f>
        <v>081263882568</v>
      </c>
      <c r="K4" s="41" t="str">
        <f ca="1">IFERROR(__xludf.DUMMYFUNCTION("""COMPUTED_VALUE"""),"TW1")</f>
        <v>TW1</v>
      </c>
      <c r="L4" s="41" t="str">
        <f ca="1">IFERROR(__xludf.DUMMYFUNCTION("""COMPUTED_VALUE"""),"Maret")</f>
        <v>Maret</v>
      </c>
      <c r="M4" s="41" t="str">
        <f ca="1">IFERROR(__xludf.DUMMYFUNCTION("""COMPUTED_VALUE"""),"IV")</f>
        <v>IV</v>
      </c>
      <c r="N4" s="41">
        <f ca="1">IFERROR(__xludf.DUMMYFUNCTION("""COMPUTED_VALUE"""),2)</f>
        <v>2</v>
      </c>
      <c r="O4" s="41">
        <f ca="1">IFERROR(__xludf.DUMMYFUNCTION("""COMPUTED_VALUE"""),5)</f>
        <v>5</v>
      </c>
      <c r="P4" s="41">
        <f ca="1">IFERROR(__xludf.DUMMYFUNCTION("""COMPUTED_VALUE"""),3)</f>
        <v>3</v>
      </c>
      <c r="Q4" s="42" t="str">
        <f ca="1">IFERROR(__xludf.DUMMYFUNCTION("""COMPUTED_VALUE"""),"https://drive.google.com/drive/folders/1ive_AL5fvbYE_iumXqw4MDJVNG41zQP5?usp=sharing")</f>
        <v>https://drive.google.com/drive/folders/1ive_AL5fvbYE_iumXqw4MDJVNG41zQP5?usp=sharing</v>
      </c>
      <c r="R4" s="41">
        <f ca="1">IFERROR(__xludf.DUMMYFUNCTION("""COMPUTED_VALUE"""),2)</f>
        <v>2</v>
      </c>
      <c r="S4" s="41">
        <f ca="1">IFERROR(__xludf.DUMMYFUNCTION("""COMPUTED_VALUE"""),5)</f>
        <v>5</v>
      </c>
      <c r="T4" s="41">
        <f ca="1">IFERROR(__xludf.DUMMYFUNCTION("""COMPUTED_VALUE"""),3)</f>
        <v>3</v>
      </c>
      <c r="U4" s="42" t="str">
        <f ca="1">IFERROR(__xludf.DUMMYFUNCTION("""COMPUTED_VALUE"""),"https://drive.google.com/drive/folders/1lVpnK8-Vc9zMAzBgrNFUzgWo0dnhnUdB?usp=sharing")</f>
        <v>https://drive.google.com/drive/folders/1lVpnK8-Vc9zMAzBgrNFUzgWo0dnhnUdB?usp=sharing</v>
      </c>
      <c r="V4" s="41">
        <f ca="1">IFERROR(__xludf.DUMMYFUNCTION("""COMPUTED_VALUE"""),1)</f>
        <v>1</v>
      </c>
      <c r="W4" s="41">
        <f ca="1">IFERROR(__xludf.DUMMYFUNCTION("""COMPUTED_VALUE"""),5)</f>
        <v>5</v>
      </c>
      <c r="X4" s="41">
        <f ca="1">IFERROR(__xludf.DUMMYFUNCTION("""COMPUTED_VALUE"""),2)</f>
        <v>2</v>
      </c>
      <c r="Y4" s="42" t="str">
        <f ca="1">IFERROR(__xludf.DUMMYFUNCTION("""COMPUTED_VALUE"""),"https://drive.google.com/drive/folders/1lVpnK8-Vc9zMAzBgrNFUzgWo0dnhnUdB?usp=sharing")</f>
        <v>https://drive.google.com/drive/folders/1lVpnK8-Vc9zMAzBgrNFUzgWo0dnhnUdB?usp=sharing</v>
      </c>
      <c r="Z4" s="41">
        <f ca="1">IFERROR(__xludf.DUMMYFUNCTION("""COMPUTED_VALUE"""),1)</f>
        <v>1</v>
      </c>
      <c r="AA4" s="41">
        <f ca="1">IFERROR(__xludf.DUMMYFUNCTION("""COMPUTED_VALUE"""),5)</f>
        <v>5</v>
      </c>
      <c r="AB4" s="41">
        <f ca="1">IFERROR(__xludf.DUMMYFUNCTION("""COMPUTED_VALUE"""),2)</f>
        <v>2</v>
      </c>
      <c r="AC4" s="42" t="str">
        <f ca="1">IFERROR(__xludf.DUMMYFUNCTION("""COMPUTED_VALUE"""),"https://drive.google.com/drive/folders/1ZP8izJq-VZ3bDsHKcUUzOWNDZNc_5HPJ?usp=sharing")</f>
        <v>https://drive.google.com/drive/folders/1ZP8izJq-VZ3bDsHKcUUzOWNDZNc_5HPJ?usp=sharing</v>
      </c>
      <c r="AD4" s="41">
        <f ca="1">IFERROR(__xludf.DUMMYFUNCTION("""COMPUTED_VALUE"""),1)</f>
        <v>1</v>
      </c>
      <c r="AE4" s="41">
        <f ca="1">IFERROR(__xludf.DUMMYFUNCTION("""COMPUTED_VALUE"""),5)</f>
        <v>5</v>
      </c>
      <c r="AF4" s="41">
        <f ca="1">IFERROR(__xludf.DUMMYFUNCTION("""COMPUTED_VALUE"""),2)</f>
        <v>2</v>
      </c>
      <c r="AG4" s="42" t="str">
        <f ca="1">IFERROR(__xludf.DUMMYFUNCTION("""COMPUTED_VALUE"""),"https://drive.google.com/drive/folders/10V9e8XZMiJRegLxO20-RfXvaXyDuvlns?usp=sharing")</f>
        <v>https://drive.google.com/drive/folders/10V9e8XZMiJRegLxO20-RfXvaXyDuvlns?usp=sharing</v>
      </c>
      <c r="AH4" s="41">
        <f ca="1">IFERROR(__xludf.DUMMYFUNCTION("""COMPUTED_VALUE"""),2)</f>
        <v>2</v>
      </c>
      <c r="AI4" s="41">
        <f ca="1">IFERROR(__xludf.DUMMYFUNCTION("""COMPUTED_VALUE"""),5)</f>
        <v>5</v>
      </c>
      <c r="AJ4" s="41">
        <f ca="1">IFERROR(__xludf.DUMMYFUNCTION("""COMPUTED_VALUE"""),3)</f>
        <v>3</v>
      </c>
      <c r="AK4" s="42" t="str">
        <f ca="1">IFERROR(__xludf.DUMMYFUNCTION("""COMPUTED_VALUE"""),"https://drive.google.com/drive/folders/1nXdXuf66varVwURzHumEMTdCMKUjCuHL?usp=sharing")</f>
        <v>https://drive.google.com/drive/folders/1nXdXuf66varVwURzHumEMTdCMKUjCuHL?usp=sharing</v>
      </c>
      <c r="AL4" s="41">
        <f ca="1">IFERROR(__xludf.DUMMYFUNCTION("""COMPUTED_VALUE"""),1)</f>
        <v>1</v>
      </c>
      <c r="AM4" s="41">
        <f ca="1">IFERROR(__xludf.DUMMYFUNCTION("""COMPUTED_VALUE"""),5)</f>
        <v>5</v>
      </c>
      <c r="AN4" s="41">
        <f ca="1">IFERROR(__xludf.DUMMYFUNCTION("""COMPUTED_VALUE"""),2)</f>
        <v>2</v>
      </c>
      <c r="AO4" s="42" t="str">
        <f ca="1">IFERROR(__xludf.DUMMYFUNCTION("""COMPUTED_VALUE"""),"https://drive.google.com/drive/folders/1MB20Frf38x7zZOLkRJfpKMc8yJtU9Rkp?usp=sharing")</f>
        <v>https://drive.google.com/drive/folders/1MB20Frf38x7zZOLkRJfpKMc8yJtU9Rkp?usp=sharing</v>
      </c>
      <c r="AP4" s="41">
        <f ca="1">IFERROR(__xludf.DUMMYFUNCTION("""COMPUTED_VALUE"""),1)</f>
        <v>1</v>
      </c>
      <c r="AQ4" s="41">
        <f ca="1">IFERROR(__xludf.DUMMYFUNCTION("""COMPUTED_VALUE"""),5)</f>
        <v>5</v>
      </c>
      <c r="AR4" s="41">
        <f ca="1">IFERROR(__xludf.DUMMYFUNCTION("""COMPUTED_VALUE"""),2)</f>
        <v>2</v>
      </c>
      <c r="AS4" s="42" t="str">
        <f ca="1">IFERROR(__xludf.DUMMYFUNCTION("""COMPUTED_VALUE"""),"https://drive.google.com/drive/folders/1C_0uCnR52auv6gr-sRo3vsRo8p9DO36y?usp=sharing")</f>
        <v>https://drive.google.com/drive/folders/1C_0uCnR52auv6gr-sRo3vsRo8p9DO36y?usp=sharing</v>
      </c>
      <c r="AT4" s="41">
        <f ca="1">IFERROR(__xludf.DUMMYFUNCTION("""COMPUTED_VALUE"""),1)</f>
        <v>1</v>
      </c>
      <c r="AU4" s="41">
        <f ca="1">IFERROR(__xludf.DUMMYFUNCTION("""COMPUTED_VALUE"""),5)</f>
        <v>5</v>
      </c>
      <c r="AV4" s="41">
        <f ca="1">IFERROR(__xludf.DUMMYFUNCTION("""COMPUTED_VALUE"""),2)</f>
        <v>2</v>
      </c>
      <c r="AW4" s="42" t="str">
        <f ca="1">IFERROR(__xludf.DUMMYFUNCTION("""COMPUTED_VALUE"""),"https://drive.google.com/drive/folders/1IRap7d5czLDe-LaNt8vm1UblO8XaYgvo?usp=sharing")</f>
        <v>https://drive.google.com/drive/folders/1IRap7d5czLDe-LaNt8vm1UblO8XaYgvo?usp=sharing</v>
      </c>
      <c r="AX4" s="41">
        <f ca="1">IFERROR(__xludf.DUMMYFUNCTION("""COMPUTED_VALUE"""),1)</f>
        <v>1</v>
      </c>
      <c r="AY4" s="41">
        <f ca="1">IFERROR(__xludf.DUMMYFUNCTION("""COMPUTED_VALUE"""),5)</f>
        <v>5</v>
      </c>
      <c r="AZ4" s="41">
        <f ca="1">IFERROR(__xludf.DUMMYFUNCTION("""COMPUTED_VALUE"""),2)</f>
        <v>2</v>
      </c>
      <c r="BA4" s="42" t="str">
        <f ca="1">IFERROR(__xludf.DUMMYFUNCTION("""COMPUTED_VALUE"""),"https://drive.google.com/drive/folders/1UdwjaDFNBeSxAdgXY861hhB9QqC5xkzv?usp=sharing")</f>
        <v>https://drive.google.com/drive/folders/1UdwjaDFNBeSxAdgXY861hhB9QqC5xkzv?usp=sharing</v>
      </c>
      <c r="BB4" s="41">
        <f ca="1">IFERROR(__xludf.DUMMYFUNCTION("""COMPUTED_VALUE"""),1)</f>
        <v>1</v>
      </c>
      <c r="BC4" s="41">
        <f ca="1">IFERROR(__xludf.DUMMYFUNCTION("""COMPUTED_VALUE"""),5)</f>
        <v>5</v>
      </c>
      <c r="BD4" s="41">
        <f ca="1">IFERROR(__xludf.DUMMYFUNCTION("""COMPUTED_VALUE"""),2)</f>
        <v>2</v>
      </c>
      <c r="BE4" s="42" t="str">
        <f ca="1">IFERROR(__xludf.DUMMYFUNCTION("""COMPUTED_VALUE"""),"https://drive.google.com/drive/folders/1p8DMzcTC2msijiseU9gmZY_qOSFMQjNY?usp=sharing")</f>
        <v>https://drive.google.com/drive/folders/1p8DMzcTC2msijiseU9gmZY_qOSFMQjNY?usp=sharing</v>
      </c>
      <c r="BF4" s="41">
        <f ca="1">IFERROR(__xludf.DUMMYFUNCTION("""COMPUTED_VALUE"""),2)</f>
        <v>2</v>
      </c>
      <c r="BG4" s="41">
        <f ca="1">IFERROR(__xludf.DUMMYFUNCTION("""COMPUTED_VALUE"""),5)</f>
        <v>5</v>
      </c>
      <c r="BH4" s="41">
        <f ca="1">IFERROR(__xludf.DUMMYFUNCTION("""COMPUTED_VALUE"""),3)</f>
        <v>3</v>
      </c>
      <c r="BI4" s="42" t="str">
        <f ca="1">IFERROR(__xludf.DUMMYFUNCTION("""COMPUTED_VALUE"""),"https://drive.google.com/drive/folders/15Q6SRR2Eiw4oTgiOZIa5o1l81W91IWeT?usp=sharing")</f>
        <v>https://drive.google.com/drive/folders/15Q6SRR2Eiw4oTgiOZIa5o1l81W91IWeT?usp=sharing</v>
      </c>
      <c r="BJ4" s="41">
        <f ca="1">IFERROR(__xludf.DUMMYFUNCTION("""COMPUTED_VALUE"""),2)</f>
        <v>2</v>
      </c>
      <c r="BK4" s="41">
        <f ca="1">IFERROR(__xludf.DUMMYFUNCTION("""COMPUTED_VALUE"""),5)</f>
        <v>5</v>
      </c>
      <c r="BL4" s="41">
        <f ca="1">IFERROR(__xludf.DUMMYFUNCTION("""COMPUTED_VALUE"""),3)</f>
        <v>3</v>
      </c>
      <c r="BM4" s="42" t="str">
        <f ca="1">IFERROR(__xludf.DUMMYFUNCTION("""COMPUTED_VALUE"""),"https://drive.google.com/drive/folders/1F4Brwx6OUayoFYecLeWuXYYk4I19f63Q?usp=sharing")</f>
        <v>https://drive.google.com/drive/folders/1F4Brwx6OUayoFYecLeWuXYYk4I19f63Q?usp=sharing</v>
      </c>
      <c r="BN4" s="41">
        <f ca="1">IFERROR(__xludf.DUMMYFUNCTION("""COMPUTED_VALUE"""),1)</f>
        <v>1</v>
      </c>
      <c r="BO4" s="41">
        <f ca="1">IFERROR(__xludf.DUMMYFUNCTION("""COMPUTED_VALUE"""),5)</f>
        <v>5</v>
      </c>
      <c r="BP4" s="41">
        <f ca="1">IFERROR(__xludf.DUMMYFUNCTION("""COMPUTED_VALUE"""),2)</f>
        <v>2</v>
      </c>
      <c r="BQ4" s="42" t="str">
        <f ca="1">IFERROR(__xludf.DUMMYFUNCTION("""COMPUTED_VALUE"""),"https://drive.google.com/drive/folders/1e7Z12QBYk8XRuZoW-67tqQDCqZf_d_UY?usp=sharing")</f>
        <v>https://drive.google.com/drive/folders/1e7Z12QBYk8XRuZoW-67tqQDCqZf_d_UY?usp=sharing</v>
      </c>
      <c r="BR4" s="41">
        <f ca="1">IFERROR(__xludf.DUMMYFUNCTION("""COMPUTED_VALUE"""),1)</f>
        <v>1</v>
      </c>
      <c r="BS4" s="41">
        <f ca="1">IFERROR(__xludf.DUMMYFUNCTION("""COMPUTED_VALUE"""),5)</f>
        <v>5</v>
      </c>
      <c r="BT4" s="41">
        <f ca="1">IFERROR(__xludf.DUMMYFUNCTION("""COMPUTED_VALUE"""),2)</f>
        <v>2</v>
      </c>
      <c r="BU4" s="42" t="str">
        <f ca="1">IFERROR(__xludf.DUMMYFUNCTION("""COMPUTED_VALUE"""),"https://drive.google.com/drive/folders/1hpgztaZQHyvT0GeFhpkFslMXmjC2VGb-?usp=sharing")</f>
        <v>https://drive.google.com/drive/folders/1hpgztaZQHyvT0GeFhpkFslMXmjC2VGb-?usp=sharing</v>
      </c>
      <c r="BV4" s="41">
        <f ca="1">IFERROR(__xludf.DUMMYFUNCTION("""COMPUTED_VALUE"""),1)</f>
        <v>1</v>
      </c>
      <c r="BW4" s="41">
        <f ca="1">IFERROR(__xludf.DUMMYFUNCTION("""COMPUTED_VALUE"""),5)</f>
        <v>5</v>
      </c>
      <c r="BX4" s="41">
        <f ca="1">IFERROR(__xludf.DUMMYFUNCTION("""COMPUTED_VALUE"""),2)</f>
        <v>2</v>
      </c>
      <c r="BY4" s="55" t="str">
        <f ca="1">IFERROR(__xludf.DUMMYFUNCTION("""COMPUTED_VALUE"""),"https://drive.google.com/drive/folders/1TfVl1jb0O6b9TI5h2jn2zIc2segEM6WQ?usp=sharing")</f>
        <v>https://drive.google.com/drive/folders/1TfVl1jb0O6b9TI5h2jn2zIc2segEM6WQ?usp=sharing</v>
      </c>
      <c r="BZ4" s="41">
        <f ca="1">IFERROR(__xludf.DUMMYFUNCTION("""COMPUTED_VALUE"""),2)</f>
        <v>2</v>
      </c>
      <c r="CA4" s="41">
        <f ca="1">IFERROR(__xludf.DUMMYFUNCTION("""COMPUTED_VALUE"""),5)</f>
        <v>5</v>
      </c>
      <c r="CB4" s="41">
        <f ca="1">IFERROR(__xludf.DUMMYFUNCTION("""COMPUTED_VALUE"""),3)</f>
        <v>3</v>
      </c>
      <c r="CC4" s="42" t="str">
        <f ca="1">IFERROR(__xludf.DUMMYFUNCTION("""COMPUTED_VALUE"""),"https://drive.google.com/drive/folders/1Zm98i2wBwUgqGrHMC9OZevalGQ4Hptb7?usp=sharing")</f>
        <v>https://drive.google.com/drive/folders/1Zm98i2wBwUgqGrHMC9OZevalGQ4Hptb7?usp=sharing</v>
      </c>
      <c r="CD4" s="41">
        <f ca="1">IFERROR(__xludf.DUMMYFUNCTION("""COMPUTED_VALUE"""),2)</f>
        <v>2</v>
      </c>
      <c r="CE4" s="41">
        <f ca="1">IFERROR(__xludf.DUMMYFUNCTION("""COMPUTED_VALUE"""),5)</f>
        <v>5</v>
      </c>
      <c r="CF4" s="41">
        <f ca="1">IFERROR(__xludf.DUMMYFUNCTION("""COMPUTED_VALUE"""),3)</f>
        <v>3</v>
      </c>
      <c r="CG4" s="42" t="str">
        <f ca="1">IFERROR(__xludf.DUMMYFUNCTION("""COMPUTED_VALUE"""),"https://drive.google.com/drive/folders/1vkzqx_LcxFrfDs5dYAFWfx8cKLPYUWGK?usp=sharing")</f>
        <v>https://drive.google.com/drive/folders/1vkzqx_LcxFrfDs5dYAFWfx8cKLPYUWGK?usp=sharing</v>
      </c>
      <c r="CH4" s="41">
        <f ca="1">IFERROR(__xludf.DUMMYFUNCTION("""COMPUTED_VALUE"""),1)</f>
        <v>1</v>
      </c>
      <c r="CI4" s="41">
        <f ca="1">IFERROR(__xludf.DUMMYFUNCTION("""COMPUTED_VALUE"""),5)</f>
        <v>5</v>
      </c>
      <c r="CJ4" s="41">
        <f ca="1">IFERROR(__xludf.DUMMYFUNCTION("""COMPUTED_VALUE"""),2)</f>
        <v>2</v>
      </c>
      <c r="CK4" s="42" t="str">
        <f ca="1">IFERROR(__xludf.DUMMYFUNCTION("""COMPUTED_VALUE"""),"https://drive.google.com/drive/folders/1thU9lq3vls8YPb5gX680HsLA5N6UK6Y1?usp=sharing")</f>
        <v>https://drive.google.com/drive/folders/1thU9lq3vls8YPb5gX680HsLA5N6UK6Y1?usp=sharing</v>
      </c>
      <c r="CL4" s="41">
        <f ca="1">IFERROR(__xludf.DUMMYFUNCTION("""COMPUTED_VALUE"""),2)</f>
        <v>2</v>
      </c>
      <c r="CM4" s="41">
        <f ca="1">IFERROR(__xludf.DUMMYFUNCTION("""COMPUTED_VALUE"""),5)</f>
        <v>5</v>
      </c>
      <c r="CN4" s="41">
        <f ca="1">IFERROR(__xludf.DUMMYFUNCTION("""COMPUTED_VALUE"""),3)</f>
        <v>3</v>
      </c>
      <c r="CO4" s="42" t="str">
        <f ca="1">IFERROR(__xludf.DUMMYFUNCTION("""COMPUTED_VALUE"""),"https://drive.google.com/drive/folders/1pbBblzaQ9owFkSdj5GmzByDTDqtNFaXc?usp=sharing")</f>
        <v>https://drive.google.com/drive/folders/1pbBblzaQ9owFkSdj5GmzByDTDqtNFaXc?usp=sharing</v>
      </c>
      <c r="CP4" s="41">
        <f ca="1">IFERROR(__xludf.DUMMYFUNCTION("""COMPUTED_VALUE"""),1)</f>
        <v>1</v>
      </c>
      <c r="CQ4" s="41">
        <f ca="1">IFERROR(__xludf.DUMMYFUNCTION("""COMPUTED_VALUE"""),5)</f>
        <v>5</v>
      </c>
      <c r="CR4" s="41">
        <f ca="1">IFERROR(__xludf.DUMMYFUNCTION("""COMPUTED_VALUE"""),2)</f>
        <v>2</v>
      </c>
      <c r="CS4" s="42" t="str">
        <f ca="1">IFERROR(__xludf.DUMMYFUNCTION("""COMPUTED_VALUE"""),"https://drive.google.com/drive/folders/1pbBblzaQ9owFkSdj5GmzByDTDqtNFaXc?usp=sharing")</f>
        <v>https://drive.google.com/drive/folders/1pbBblzaQ9owFkSdj5GmzByDTDqtNFaXc?usp=sharing</v>
      </c>
      <c r="CT4" s="41">
        <f ca="1">IFERROR(__xludf.DUMMYFUNCTION("""COMPUTED_VALUE"""),2)</f>
        <v>2</v>
      </c>
      <c r="CU4" s="41">
        <f ca="1">IFERROR(__xludf.DUMMYFUNCTION("""COMPUTED_VALUE"""),5)</f>
        <v>5</v>
      </c>
      <c r="CV4" s="41">
        <f ca="1">IFERROR(__xludf.DUMMYFUNCTION("""COMPUTED_VALUE"""),3)</f>
        <v>3</v>
      </c>
      <c r="CW4" s="42" t="str">
        <f ca="1">IFERROR(__xludf.DUMMYFUNCTION("""COMPUTED_VALUE"""),"https://drive.google.com/drive/folders/1TLhIhEIHoq7jve6bU0a_gTq8l8M4xU7r?usp=sharing")</f>
        <v>https://drive.google.com/drive/folders/1TLhIhEIHoq7jve6bU0a_gTq8l8M4xU7r?usp=sharing</v>
      </c>
      <c r="CX4" s="41">
        <f ca="1">IFERROR(__xludf.DUMMYFUNCTION("""COMPUTED_VALUE"""),2)</f>
        <v>2</v>
      </c>
      <c r="CY4" s="41">
        <f ca="1">IFERROR(__xludf.DUMMYFUNCTION("""COMPUTED_VALUE"""),5)</f>
        <v>5</v>
      </c>
      <c r="CZ4" s="41">
        <f ca="1">IFERROR(__xludf.DUMMYFUNCTION("""COMPUTED_VALUE"""),3)</f>
        <v>3</v>
      </c>
      <c r="DA4" s="42" t="str">
        <f ca="1">IFERROR(__xludf.DUMMYFUNCTION("""COMPUTED_VALUE"""),"https://drive.google.com/drive/folders/1kPgZkS8_gAkTHxNpjPQ0g0beFdM5-BJc?usp=sharing")</f>
        <v>https://drive.google.com/drive/folders/1kPgZkS8_gAkTHxNpjPQ0g0beFdM5-BJc?usp=sharing</v>
      </c>
      <c r="DB4" s="41">
        <f ca="1">IFERROR(__xludf.DUMMYFUNCTION("""COMPUTED_VALUE"""),2)</f>
        <v>2</v>
      </c>
      <c r="DC4" s="41">
        <f ca="1">IFERROR(__xludf.DUMMYFUNCTION("""COMPUTED_VALUE"""),5)</f>
        <v>5</v>
      </c>
      <c r="DD4" s="41">
        <f ca="1">IFERROR(__xludf.DUMMYFUNCTION("""COMPUTED_VALUE"""),3)</f>
        <v>3</v>
      </c>
      <c r="DE4" s="42" t="str">
        <f ca="1">IFERROR(__xludf.DUMMYFUNCTION("""COMPUTED_VALUE"""),"https://drive.google.com/drive/folders/1kPgZkS8_gAkTHxNpjPQ0g0beFdM5-BJc?usp=sharing")</f>
        <v>https://drive.google.com/drive/folders/1kPgZkS8_gAkTHxNpjPQ0g0beFdM5-BJc?usp=sharing</v>
      </c>
      <c r="DF4" s="41">
        <f ca="1">IFERROR(__xludf.DUMMYFUNCTION("""COMPUTED_VALUE"""),2)</f>
        <v>2</v>
      </c>
      <c r="DG4" s="41">
        <f ca="1">IFERROR(__xludf.DUMMYFUNCTION("""COMPUTED_VALUE"""),5)</f>
        <v>5</v>
      </c>
      <c r="DH4" s="41">
        <f ca="1">IFERROR(__xludf.DUMMYFUNCTION("""COMPUTED_VALUE"""),3)</f>
        <v>3</v>
      </c>
      <c r="DI4" s="42" t="str">
        <f ca="1">IFERROR(__xludf.DUMMYFUNCTION("""COMPUTED_VALUE"""),"https://drive.google.com/drive/folders/1kPgZkS8_gAkTHxNpjPQ0g0beFdM5-BJc?usp=sharing")</f>
        <v>https://drive.google.com/drive/folders/1kPgZkS8_gAkTHxNpjPQ0g0beFdM5-BJc?usp=sharing</v>
      </c>
      <c r="DJ4" s="41">
        <f ca="1">IFERROR(__xludf.DUMMYFUNCTION("""COMPUTED_VALUE"""),2)</f>
        <v>2</v>
      </c>
      <c r="DK4" s="41">
        <f ca="1">IFERROR(__xludf.DUMMYFUNCTION("""COMPUTED_VALUE"""),5)</f>
        <v>5</v>
      </c>
      <c r="DL4" s="41">
        <f ca="1">IFERROR(__xludf.DUMMYFUNCTION("""COMPUTED_VALUE"""),3)</f>
        <v>3</v>
      </c>
      <c r="DM4" s="42" t="str">
        <f ca="1">IFERROR(__xludf.DUMMYFUNCTION("""COMPUTED_VALUE"""),"https://drive.google.com/drive/folders/107OYHPrlgnpWJwhuEV7pgtUPADJrI1rT?usp=sharing")</f>
        <v>https://drive.google.com/drive/folders/107OYHPrlgnpWJwhuEV7pgtUPADJrI1rT?usp=sharing</v>
      </c>
      <c r="DN4" s="41" t="str">
        <f ca="1">IFERROR(__xludf.DUMMYFUNCTION("""COMPUTED_VALUE"""),"DITINGKATKAN LAGI UNTUK TRIWULAN BERIKUTNYA")</f>
        <v>DITINGKATKAN LAGI UNTUK TRIWULAN BERIKUTNYA</v>
      </c>
      <c r="DO4" s="44" t="e">
        <f ca="1"/>
        <v>#NAME?</v>
      </c>
      <c r="DP4" s="45">
        <f ca="1"/>
        <v>1.5</v>
      </c>
      <c r="DQ4" s="45">
        <f ca="1"/>
        <v>5</v>
      </c>
      <c r="DR4" s="45">
        <f ca="1"/>
        <v>2.5</v>
      </c>
      <c r="DS4" s="45">
        <f ca="1"/>
        <v>1</v>
      </c>
      <c r="DT4" s="47">
        <f ca="1"/>
        <v>1.5</v>
      </c>
      <c r="DU4" s="48">
        <f ca="1"/>
        <v>5</v>
      </c>
      <c r="DV4" s="48">
        <f ca="1"/>
        <v>2.5</v>
      </c>
      <c r="DW4" s="48">
        <f ca="1"/>
        <v>1</v>
      </c>
      <c r="DX4" s="50">
        <f ca="1"/>
        <v>1</v>
      </c>
      <c r="DY4" s="48">
        <f ca="1"/>
        <v>5</v>
      </c>
      <c r="DZ4" s="48">
        <f ca="1"/>
        <v>2</v>
      </c>
      <c r="EA4" s="48">
        <f ca="1"/>
        <v>1</v>
      </c>
      <c r="EB4" s="51">
        <f ca="1"/>
        <v>1.6666666666666667</v>
      </c>
      <c r="EC4" s="48">
        <f ca="1"/>
        <v>5</v>
      </c>
      <c r="ED4" s="48">
        <f ca="1"/>
        <v>2.6666666666666665</v>
      </c>
      <c r="EE4" s="48">
        <f ca="1"/>
        <v>0.99999999999999978</v>
      </c>
      <c r="EF4" s="52">
        <f ca="1"/>
        <v>1</v>
      </c>
      <c r="EG4" s="48">
        <f ca="1"/>
        <v>5</v>
      </c>
      <c r="EH4" s="48">
        <f ca="1"/>
        <v>2</v>
      </c>
      <c r="EI4" s="48">
        <f ca="1"/>
        <v>1</v>
      </c>
      <c r="EJ4" s="53">
        <f ca="1"/>
        <v>1.6</v>
      </c>
      <c r="EK4" s="48">
        <f ca="1"/>
        <v>5</v>
      </c>
      <c r="EL4" s="48">
        <f ca="1"/>
        <v>2.6</v>
      </c>
      <c r="EM4" s="48">
        <f ca="1"/>
        <v>1</v>
      </c>
      <c r="EN4" s="54">
        <f ca="1"/>
        <v>2</v>
      </c>
      <c r="EO4" s="48">
        <f ca="1"/>
        <v>5</v>
      </c>
      <c r="EP4" s="48">
        <f ca="1"/>
        <v>3</v>
      </c>
      <c r="EQ4" s="48">
        <f ca="1"/>
        <v>1</v>
      </c>
    </row>
    <row r="5" spans="1:155" ht="15.75" customHeight="1" x14ac:dyDescent="0.3">
      <c r="A5" s="40">
        <f ca="1">IFERROR(__xludf.DUMMYFUNCTION("""COMPUTED_VALUE"""),46110.4416068518)</f>
        <v>46110.441606851797</v>
      </c>
      <c r="B5" s="41" t="str">
        <f ca="1">IFERROR(__xludf.DUMMYFUNCTION("""COMPUTED_VALUE"""),"linda.purba24@guru.sd.belajar.id")</f>
        <v>linda.purba24@guru.sd.belajar.id</v>
      </c>
      <c r="C5" s="41">
        <f ca="1">IFERROR(__xludf.DUMMYFUNCTION("""COMPUTED_VALUE"""),10200109)</f>
        <v>10200109</v>
      </c>
      <c r="D5" s="41" t="str">
        <f ca="1">IFERROR(__xludf.DUMMYFUNCTION("""COMPUTED_VALUE"""),"Bangun Purba")</f>
        <v>Bangun Purba</v>
      </c>
      <c r="E5" s="41" t="str">
        <f ca="1">IFERROR(__xludf.DUMMYFUNCTION("""COMPUTED_VALUE"""),"SD")</f>
        <v>SD</v>
      </c>
      <c r="F5" s="41" t="str">
        <f ca="1">IFERROR(__xludf.DUMMYFUNCTION("""COMPUTED_VALUE"""),"UPT SPF SD NEGERI 104500 UJUNG JAWI")</f>
        <v>UPT SPF SD NEGERI 104500 UJUNG JAWI</v>
      </c>
      <c r="G5" s="41" t="str">
        <f ca="1">IFERROR(__xludf.DUMMYFUNCTION("""COMPUTED_VALUE"""),"Linda Purba, S. Pd")</f>
        <v>Linda Purba, S. Pd</v>
      </c>
      <c r="H5" s="41" t="str">
        <f ca="1">IFERROR(__xludf.DUMMYFUNCTION("""COMPUTED_VALUE"""),"081397495277")</f>
        <v>081397495277</v>
      </c>
      <c r="I5" s="41" t="str">
        <f ca="1">IFERROR(__xludf.DUMMYFUNCTION("""COMPUTED_VALUE"""),"SURIADI, S.Pd")</f>
        <v>SURIADI, S.Pd</v>
      </c>
      <c r="J5" s="41" t="str">
        <f ca="1">IFERROR(__xludf.DUMMYFUNCTION("""COMPUTED_VALUE"""),"085362187588")</f>
        <v>085362187588</v>
      </c>
      <c r="K5" s="41" t="str">
        <f ca="1">IFERROR(__xludf.DUMMYFUNCTION("""COMPUTED_VALUE"""),"TW1")</f>
        <v>TW1</v>
      </c>
      <c r="L5" s="41" t="str">
        <f ca="1">IFERROR(__xludf.DUMMYFUNCTION("""COMPUTED_VALUE"""),"Maret")</f>
        <v>Maret</v>
      </c>
      <c r="M5" s="41" t="str">
        <f ca="1">IFERROR(__xludf.DUMMYFUNCTION("""COMPUTED_VALUE"""),"IV")</f>
        <v>IV</v>
      </c>
      <c r="N5" s="41">
        <f ca="1">IFERROR(__xludf.DUMMYFUNCTION("""COMPUTED_VALUE"""),1)</f>
        <v>1</v>
      </c>
      <c r="O5" s="41">
        <f ca="1">IFERROR(__xludf.DUMMYFUNCTION("""COMPUTED_VALUE"""),5)</f>
        <v>5</v>
      </c>
      <c r="P5" s="41">
        <f ca="1">IFERROR(__xludf.DUMMYFUNCTION("""COMPUTED_VALUE"""),2)</f>
        <v>2</v>
      </c>
      <c r="Q5" s="42" t="str">
        <f ca="1">IFERROR(__xludf.DUMMYFUNCTION("""COMPUTED_VALUE"""),"https://drive.google.com/drive/folders/1z3RLwb-6KsjkOmqlyR55VjpX66Xgcxaz?usp=sharing")</f>
        <v>https://drive.google.com/drive/folders/1z3RLwb-6KsjkOmqlyR55VjpX66Xgcxaz?usp=sharing</v>
      </c>
      <c r="R5" s="41">
        <f ca="1">IFERROR(__xludf.DUMMYFUNCTION("""COMPUTED_VALUE"""),1)</f>
        <v>1</v>
      </c>
      <c r="S5" s="41">
        <f ca="1">IFERROR(__xludf.DUMMYFUNCTION("""COMPUTED_VALUE"""),5)</f>
        <v>5</v>
      </c>
      <c r="T5" s="41">
        <f ca="1">IFERROR(__xludf.DUMMYFUNCTION("""COMPUTED_VALUE"""),2)</f>
        <v>2</v>
      </c>
      <c r="U5" s="42" t="str">
        <f ca="1">IFERROR(__xludf.DUMMYFUNCTION("""COMPUTED_VALUE"""),"https://drive.google.com/drive/folders/1cCAPzL53UGknJ27nbcKzT1raU36YFpZY?usp=sharing")</f>
        <v>https://drive.google.com/drive/folders/1cCAPzL53UGknJ27nbcKzT1raU36YFpZY?usp=sharing</v>
      </c>
      <c r="V5" s="41">
        <f ca="1">IFERROR(__xludf.DUMMYFUNCTION("""COMPUTED_VALUE"""),2)</f>
        <v>2</v>
      </c>
      <c r="W5" s="41">
        <f ca="1">IFERROR(__xludf.DUMMYFUNCTION("""COMPUTED_VALUE"""),5)</f>
        <v>5</v>
      </c>
      <c r="X5" s="41">
        <f ca="1">IFERROR(__xludf.DUMMYFUNCTION("""COMPUTED_VALUE"""),3)</f>
        <v>3</v>
      </c>
      <c r="Y5" s="42" t="str">
        <f ca="1">IFERROR(__xludf.DUMMYFUNCTION("""COMPUTED_VALUE"""),"https://drive.google.com/drive/folders/1QfrfjtvQzgJ9VAqlXN1j-12-r48rLXHT?usp=sharing")</f>
        <v>https://drive.google.com/drive/folders/1QfrfjtvQzgJ9VAqlXN1j-12-r48rLXHT?usp=sharing</v>
      </c>
      <c r="Z5" s="41">
        <f ca="1">IFERROR(__xludf.DUMMYFUNCTION("""COMPUTED_VALUE"""),1)</f>
        <v>1</v>
      </c>
      <c r="AA5" s="41">
        <f ca="1">IFERROR(__xludf.DUMMYFUNCTION("""COMPUTED_VALUE"""),5)</f>
        <v>5</v>
      </c>
      <c r="AB5" s="41">
        <f ca="1">IFERROR(__xludf.DUMMYFUNCTION("""COMPUTED_VALUE"""),2)</f>
        <v>2</v>
      </c>
      <c r="AC5" s="42" t="str">
        <f ca="1">IFERROR(__xludf.DUMMYFUNCTION("""COMPUTED_VALUE"""),"https://drive.google.com/drive/folders/1yjfPk63fy68T65JPp1EF513fl5YJZJFb?usp=sharing")</f>
        <v>https://drive.google.com/drive/folders/1yjfPk63fy68T65JPp1EF513fl5YJZJFb?usp=sharing</v>
      </c>
      <c r="AD5" s="41">
        <f ca="1">IFERROR(__xludf.DUMMYFUNCTION("""COMPUTED_VALUE"""),1)</f>
        <v>1</v>
      </c>
      <c r="AE5" s="41">
        <f ca="1">IFERROR(__xludf.DUMMYFUNCTION("""COMPUTED_VALUE"""),5)</f>
        <v>5</v>
      </c>
      <c r="AF5" s="41">
        <f ca="1">IFERROR(__xludf.DUMMYFUNCTION("""COMPUTED_VALUE"""),2)</f>
        <v>2</v>
      </c>
      <c r="AG5" s="42" t="str">
        <f ca="1">IFERROR(__xludf.DUMMYFUNCTION("""COMPUTED_VALUE"""),"https://drive.google.com/drive/folders/1N7ybnlrX0EsXYX2pTBTnALl_aGAjePNu?usp=sharing")</f>
        <v>https://drive.google.com/drive/folders/1N7ybnlrX0EsXYX2pTBTnALl_aGAjePNu?usp=sharing</v>
      </c>
      <c r="AH5" s="41">
        <f ca="1">IFERROR(__xludf.DUMMYFUNCTION("""COMPUTED_VALUE"""),1)</f>
        <v>1</v>
      </c>
      <c r="AI5" s="41">
        <f ca="1">IFERROR(__xludf.DUMMYFUNCTION("""COMPUTED_VALUE"""),5)</f>
        <v>5</v>
      </c>
      <c r="AJ5" s="41">
        <f ca="1">IFERROR(__xludf.DUMMYFUNCTION("""COMPUTED_VALUE"""),2)</f>
        <v>2</v>
      </c>
      <c r="AK5" s="42" t="str">
        <f ca="1">IFERROR(__xludf.DUMMYFUNCTION("""COMPUTED_VALUE"""),"https://drive.google.com/drive/folders/1mKCyUQWxZF2GTrTC1qt7iTyj-SfNJgmD?usp=sharing")</f>
        <v>https://drive.google.com/drive/folders/1mKCyUQWxZF2GTrTC1qt7iTyj-SfNJgmD?usp=sharing</v>
      </c>
      <c r="AL5" s="41">
        <f ca="1">IFERROR(__xludf.DUMMYFUNCTION("""COMPUTED_VALUE"""),1)</f>
        <v>1</v>
      </c>
      <c r="AM5" s="41">
        <f ca="1">IFERROR(__xludf.DUMMYFUNCTION("""COMPUTED_VALUE"""),5)</f>
        <v>5</v>
      </c>
      <c r="AN5" s="41">
        <f ca="1">IFERROR(__xludf.DUMMYFUNCTION("""COMPUTED_VALUE"""),2)</f>
        <v>2</v>
      </c>
      <c r="AO5" s="42" t="str">
        <f ca="1">IFERROR(__xludf.DUMMYFUNCTION("""COMPUTED_VALUE"""),"https://drive.google.com/drive/folders/194IWfhMeJSDqm77ZUKPh1d3vMrH16Bfn?usp=sharing")</f>
        <v>https://drive.google.com/drive/folders/194IWfhMeJSDqm77ZUKPh1d3vMrH16Bfn?usp=sharing</v>
      </c>
      <c r="AP5" s="41">
        <f ca="1">IFERROR(__xludf.DUMMYFUNCTION("""COMPUTED_VALUE"""),1)</f>
        <v>1</v>
      </c>
      <c r="AQ5" s="41">
        <f ca="1">IFERROR(__xludf.DUMMYFUNCTION("""COMPUTED_VALUE"""),5)</f>
        <v>5</v>
      </c>
      <c r="AR5" s="41">
        <f ca="1">IFERROR(__xludf.DUMMYFUNCTION("""COMPUTED_VALUE"""),2)</f>
        <v>2</v>
      </c>
      <c r="AS5" s="42" t="str">
        <f ca="1">IFERROR(__xludf.DUMMYFUNCTION("""COMPUTED_VALUE"""),"https://drive.google.com/drive/folders/1tC6DaTRHTxAPMaLYDz0ll8Y91Y9Xw0Z-?usp=sharing")</f>
        <v>https://drive.google.com/drive/folders/1tC6DaTRHTxAPMaLYDz0ll8Y91Y9Xw0Z-?usp=sharing</v>
      </c>
      <c r="AT5" s="41">
        <f ca="1">IFERROR(__xludf.DUMMYFUNCTION("""COMPUTED_VALUE"""),1)</f>
        <v>1</v>
      </c>
      <c r="AU5" s="41">
        <f ca="1">IFERROR(__xludf.DUMMYFUNCTION("""COMPUTED_VALUE"""),5)</f>
        <v>5</v>
      </c>
      <c r="AV5" s="41">
        <f ca="1">IFERROR(__xludf.DUMMYFUNCTION("""COMPUTED_VALUE"""),2)</f>
        <v>2</v>
      </c>
      <c r="AW5" s="42" t="str">
        <f ca="1">IFERROR(__xludf.DUMMYFUNCTION("""COMPUTED_VALUE"""),"https://drive.google.com/drive/folders/1KMEbvCIsvh792cA2abJ91cbEIEXlUm0J?usp=sharing")</f>
        <v>https://drive.google.com/drive/folders/1KMEbvCIsvh792cA2abJ91cbEIEXlUm0J?usp=sharing</v>
      </c>
      <c r="AX5" s="41">
        <f ca="1">IFERROR(__xludf.DUMMYFUNCTION("""COMPUTED_VALUE"""),1)</f>
        <v>1</v>
      </c>
      <c r="AY5" s="41">
        <f ca="1">IFERROR(__xludf.DUMMYFUNCTION("""COMPUTED_VALUE"""),5)</f>
        <v>5</v>
      </c>
      <c r="AZ5" s="41">
        <f ca="1">IFERROR(__xludf.DUMMYFUNCTION("""COMPUTED_VALUE"""),2)</f>
        <v>2</v>
      </c>
      <c r="BA5" s="42" t="str">
        <f ca="1">IFERROR(__xludf.DUMMYFUNCTION("""COMPUTED_VALUE"""),"https://drive.google.com/drive/folders/1leREXCukjxSLf9BZo5_YDbiRfuNt4r05?usp=sharing")</f>
        <v>https://drive.google.com/drive/folders/1leREXCukjxSLf9BZo5_YDbiRfuNt4r05?usp=sharing</v>
      </c>
      <c r="BB5" s="41">
        <f ca="1">IFERROR(__xludf.DUMMYFUNCTION("""COMPUTED_VALUE"""),1)</f>
        <v>1</v>
      </c>
      <c r="BC5" s="41">
        <f ca="1">IFERROR(__xludf.DUMMYFUNCTION("""COMPUTED_VALUE"""),5)</f>
        <v>5</v>
      </c>
      <c r="BD5" s="41">
        <f ca="1">IFERROR(__xludf.DUMMYFUNCTION("""COMPUTED_VALUE"""),2)</f>
        <v>2</v>
      </c>
      <c r="BE5" s="42" t="str">
        <f ca="1">IFERROR(__xludf.DUMMYFUNCTION("""COMPUTED_VALUE"""),"https://drive.google.com/drive/folders/1pJBZKFyth4CBQLiG0zzjcfPvISouFZNV?usp=sharing")</f>
        <v>https://drive.google.com/drive/folders/1pJBZKFyth4CBQLiG0zzjcfPvISouFZNV?usp=sharing</v>
      </c>
      <c r="BF5" s="41">
        <f ca="1">IFERROR(__xludf.DUMMYFUNCTION("""COMPUTED_VALUE"""),2)</f>
        <v>2</v>
      </c>
      <c r="BG5" s="41">
        <f ca="1">IFERROR(__xludf.DUMMYFUNCTION("""COMPUTED_VALUE"""),5)</f>
        <v>5</v>
      </c>
      <c r="BH5" s="41">
        <f ca="1">IFERROR(__xludf.DUMMYFUNCTION("""COMPUTED_VALUE"""),3)</f>
        <v>3</v>
      </c>
      <c r="BI5" s="42" t="str">
        <f ca="1">IFERROR(__xludf.DUMMYFUNCTION("""COMPUTED_VALUE"""),"https://drive.google.com/drive/folders/1OErLY1LHw55hfFWbTNssnj1WR5Gj4PbN?usp=sharing")</f>
        <v>https://drive.google.com/drive/folders/1OErLY1LHw55hfFWbTNssnj1WR5Gj4PbN?usp=sharing</v>
      </c>
      <c r="BJ5" s="41">
        <f ca="1">IFERROR(__xludf.DUMMYFUNCTION("""COMPUTED_VALUE"""),2)</f>
        <v>2</v>
      </c>
      <c r="BK5" s="41">
        <f ca="1">IFERROR(__xludf.DUMMYFUNCTION("""COMPUTED_VALUE"""),5)</f>
        <v>5</v>
      </c>
      <c r="BL5" s="41">
        <f ca="1">IFERROR(__xludf.DUMMYFUNCTION("""COMPUTED_VALUE"""),3)</f>
        <v>3</v>
      </c>
      <c r="BM5" s="42" t="str">
        <f ca="1">IFERROR(__xludf.DUMMYFUNCTION("""COMPUTED_VALUE"""),"https://drive.google.com/drive/folders/1VJzPcpMAe0IFfXmwl90kfjGkG0qribY-?usp=sharing")</f>
        <v>https://drive.google.com/drive/folders/1VJzPcpMAe0IFfXmwl90kfjGkG0qribY-?usp=sharing</v>
      </c>
      <c r="BN5" s="41">
        <f ca="1">IFERROR(__xludf.DUMMYFUNCTION("""COMPUTED_VALUE"""),1)</f>
        <v>1</v>
      </c>
      <c r="BO5" s="41">
        <f ca="1">IFERROR(__xludf.DUMMYFUNCTION("""COMPUTED_VALUE"""),5)</f>
        <v>5</v>
      </c>
      <c r="BP5" s="41">
        <f ca="1">IFERROR(__xludf.DUMMYFUNCTION("""COMPUTED_VALUE"""),2)</f>
        <v>2</v>
      </c>
      <c r="BQ5" s="42" t="str">
        <f ca="1">IFERROR(__xludf.DUMMYFUNCTION("""COMPUTED_VALUE"""),"https://drive.google.com/drive/folders/1neXiNgpjIJ5fEUsUxoicofR8dkPsBa_u?usp=sharing")</f>
        <v>https://drive.google.com/drive/folders/1neXiNgpjIJ5fEUsUxoicofR8dkPsBa_u?usp=sharing</v>
      </c>
      <c r="BR5" s="41">
        <f ca="1">IFERROR(__xludf.DUMMYFUNCTION("""COMPUTED_VALUE"""),1)</f>
        <v>1</v>
      </c>
      <c r="BS5" s="41">
        <f ca="1">IFERROR(__xludf.DUMMYFUNCTION("""COMPUTED_VALUE"""),5)</f>
        <v>5</v>
      </c>
      <c r="BT5" s="41">
        <f ca="1">IFERROR(__xludf.DUMMYFUNCTION("""COMPUTED_VALUE"""),2)</f>
        <v>2</v>
      </c>
      <c r="BU5" s="42" t="str">
        <f ca="1">IFERROR(__xludf.DUMMYFUNCTION("""COMPUTED_VALUE"""),"https://drive.google.com/drive/folders/1_eLszTFtJ2TwyEDsLdPipLBo3sQCiIK_?usp=sharing")</f>
        <v>https://drive.google.com/drive/folders/1_eLszTFtJ2TwyEDsLdPipLBo3sQCiIK_?usp=sharing</v>
      </c>
      <c r="BV5" s="41">
        <f ca="1">IFERROR(__xludf.DUMMYFUNCTION("""COMPUTED_VALUE"""),1)</f>
        <v>1</v>
      </c>
      <c r="BW5" s="41">
        <f ca="1">IFERROR(__xludf.DUMMYFUNCTION("""COMPUTED_VALUE"""),5)</f>
        <v>5</v>
      </c>
      <c r="BX5" s="41">
        <f ca="1">IFERROR(__xludf.DUMMYFUNCTION("""COMPUTED_VALUE"""),2)</f>
        <v>2</v>
      </c>
      <c r="BY5" s="43" t="str">
        <f ca="1">IFERROR(__xludf.DUMMYFUNCTION("""COMPUTED_VALUE"""),"https://drive.google.com/drive/folders/1MYCudkZlH_strcLrhBkWPaRNLGFkngwU?usp=sharing")</f>
        <v>https://drive.google.com/drive/folders/1MYCudkZlH_strcLrhBkWPaRNLGFkngwU?usp=sharing</v>
      </c>
      <c r="BZ5" s="41">
        <f ca="1">IFERROR(__xludf.DUMMYFUNCTION("""COMPUTED_VALUE"""),1)</f>
        <v>1</v>
      </c>
      <c r="CA5" s="41">
        <f ca="1">IFERROR(__xludf.DUMMYFUNCTION("""COMPUTED_VALUE"""),5)</f>
        <v>5</v>
      </c>
      <c r="CB5" s="41">
        <f ca="1">IFERROR(__xludf.DUMMYFUNCTION("""COMPUTED_VALUE"""),2)</f>
        <v>2</v>
      </c>
      <c r="CC5" s="42" t="str">
        <f ca="1">IFERROR(__xludf.DUMMYFUNCTION("""COMPUTED_VALUE"""),"https://drive.google.com/drive/folders/1zjPPMcDwA5C0zSUddEJyMjiN7x65Deqc?usp=sharing")</f>
        <v>https://drive.google.com/drive/folders/1zjPPMcDwA5C0zSUddEJyMjiN7x65Deqc?usp=sharing</v>
      </c>
      <c r="CD5" s="41">
        <f ca="1">IFERROR(__xludf.DUMMYFUNCTION("""COMPUTED_VALUE"""),1)</f>
        <v>1</v>
      </c>
      <c r="CE5" s="41">
        <f ca="1">IFERROR(__xludf.DUMMYFUNCTION("""COMPUTED_VALUE"""),5)</f>
        <v>5</v>
      </c>
      <c r="CF5" s="41">
        <f ca="1">IFERROR(__xludf.DUMMYFUNCTION("""COMPUTED_VALUE"""),2)</f>
        <v>2</v>
      </c>
      <c r="CG5" s="42" t="str">
        <f ca="1">IFERROR(__xludf.DUMMYFUNCTION("""COMPUTED_VALUE"""),"https://drive.google.com/drive/folders/1sSfdjqcA6vGMnqj5FGHRyU3gsJ2YAvUZ?usp=sharing")</f>
        <v>https://drive.google.com/drive/folders/1sSfdjqcA6vGMnqj5FGHRyU3gsJ2YAvUZ?usp=sharing</v>
      </c>
      <c r="CH5" s="41">
        <f ca="1">IFERROR(__xludf.DUMMYFUNCTION("""COMPUTED_VALUE"""),1)</f>
        <v>1</v>
      </c>
      <c r="CI5" s="41">
        <f ca="1">IFERROR(__xludf.DUMMYFUNCTION("""COMPUTED_VALUE"""),5)</f>
        <v>5</v>
      </c>
      <c r="CJ5" s="41">
        <f ca="1">IFERROR(__xludf.DUMMYFUNCTION("""COMPUTED_VALUE"""),2)</f>
        <v>2</v>
      </c>
      <c r="CK5" s="42" t="str">
        <f ca="1">IFERROR(__xludf.DUMMYFUNCTION("""COMPUTED_VALUE"""),"https://drive.google.com/drive/folders/1nwY5Qq3FWdmSLzfDSRXW02awRh3mZ9Rb?usp=sharing")</f>
        <v>https://drive.google.com/drive/folders/1nwY5Qq3FWdmSLzfDSRXW02awRh3mZ9Rb?usp=sharing</v>
      </c>
      <c r="CL5" s="41">
        <f ca="1">IFERROR(__xludf.DUMMYFUNCTION("""COMPUTED_VALUE"""),1)</f>
        <v>1</v>
      </c>
      <c r="CM5" s="41">
        <f ca="1">IFERROR(__xludf.DUMMYFUNCTION("""COMPUTED_VALUE"""),5)</f>
        <v>5</v>
      </c>
      <c r="CN5" s="41">
        <f ca="1">IFERROR(__xludf.DUMMYFUNCTION("""COMPUTED_VALUE"""),2)</f>
        <v>2</v>
      </c>
      <c r="CO5" s="41" t="str">
        <f ca="1">IFERROR(__xludf.DUMMYFUNCTION("""COMPUTED_VALUE"""),"-")</f>
        <v>-</v>
      </c>
      <c r="CP5" s="41">
        <f ca="1">IFERROR(__xludf.DUMMYFUNCTION("""COMPUTED_VALUE"""),1)</f>
        <v>1</v>
      </c>
      <c r="CQ5" s="41">
        <f ca="1">IFERROR(__xludf.DUMMYFUNCTION("""COMPUTED_VALUE"""),5)</f>
        <v>5</v>
      </c>
      <c r="CR5" s="41">
        <f ca="1">IFERROR(__xludf.DUMMYFUNCTION("""COMPUTED_VALUE"""),2)</f>
        <v>2</v>
      </c>
      <c r="CS5" s="41" t="str">
        <f ca="1">IFERROR(__xludf.DUMMYFUNCTION("""COMPUTED_VALUE"""),"-")</f>
        <v>-</v>
      </c>
      <c r="CT5" s="41">
        <f ca="1">IFERROR(__xludf.DUMMYFUNCTION("""COMPUTED_VALUE"""),1)</f>
        <v>1</v>
      </c>
      <c r="CU5" s="41">
        <f ca="1">IFERROR(__xludf.DUMMYFUNCTION("""COMPUTED_VALUE"""),5)</f>
        <v>5</v>
      </c>
      <c r="CV5" s="41">
        <f ca="1">IFERROR(__xludf.DUMMYFUNCTION("""COMPUTED_VALUE"""),2)</f>
        <v>2</v>
      </c>
      <c r="CW5" s="42" t="str">
        <f ca="1">IFERROR(__xludf.DUMMYFUNCTION("""COMPUTED_VALUE"""),"https://drive.google.com/drive/folders/1Swm-n_4sm0XjgD0lgydAjDFb5aOw2yEc?usp=sharing")</f>
        <v>https://drive.google.com/drive/folders/1Swm-n_4sm0XjgD0lgydAjDFb5aOw2yEc?usp=sharing</v>
      </c>
      <c r="CX5" s="41">
        <f ca="1">IFERROR(__xludf.DUMMYFUNCTION("""COMPUTED_VALUE"""),2)</f>
        <v>2</v>
      </c>
      <c r="CY5" s="41">
        <f ca="1">IFERROR(__xludf.DUMMYFUNCTION("""COMPUTED_VALUE"""),5)</f>
        <v>5</v>
      </c>
      <c r="CZ5" s="41">
        <f ca="1">IFERROR(__xludf.DUMMYFUNCTION("""COMPUTED_VALUE"""),3)</f>
        <v>3</v>
      </c>
      <c r="DA5" s="42" t="str">
        <f ca="1">IFERROR(__xludf.DUMMYFUNCTION("""COMPUTED_VALUE"""),"https://drive.google.com/drive/folders/1M_kAMKM9QyPQRa-CL2mISR8yaz5ZgEjg?usp=sharing")</f>
        <v>https://drive.google.com/drive/folders/1M_kAMKM9QyPQRa-CL2mISR8yaz5ZgEjg?usp=sharing</v>
      </c>
      <c r="DB5" s="41">
        <f ca="1">IFERROR(__xludf.DUMMYFUNCTION("""COMPUTED_VALUE"""),1)</f>
        <v>1</v>
      </c>
      <c r="DC5" s="41">
        <f ca="1">IFERROR(__xludf.DUMMYFUNCTION("""COMPUTED_VALUE"""),5)</f>
        <v>5</v>
      </c>
      <c r="DD5" s="41">
        <f ca="1">IFERROR(__xludf.DUMMYFUNCTION("""COMPUTED_VALUE"""),2)</f>
        <v>2</v>
      </c>
      <c r="DE5" s="42" t="str">
        <f ca="1">IFERROR(__xludf.DUMMYFUNCTION("""COMPUTED_VALUE"""),"https://drive.google.com/drive/folders/1n_eGf5OxeMqSPqt5EGkfOqBDpWm11HFO?usp=sharing")</f>
        <v>https://drive.google.com/drive/folders/1n_eGf5OxeMqSPqt5EGkfOqBDpWm11HFO?usp=sharing</v>
      </c>
      <c r="DF5" s="41">
        <f ca="1">IFERROR(__xludf.DUMMYFUNCTION("""COMPUTED_VALUE"""),2)</f>
        <v>2</v>
      </c>
      <c r="DG5" s="41">
        <f ca="1">IFERROR(__xludf.DUMMYFUNCTION("""COMPUTED_VALUE"""),5)</f>
        <v>5</v>
      </c>
      <c r="DH5" s="41">
        <f ca="1">IFERROR(__xludf.DUMMYFUNCTION("""COMPUTED_VALUE"""),3)</f>
        <v>3</v>
      </c>
      <c r="DI5" s="42" t="str">
        <f ca="1">IFERROR(__xludf.DUMMYFUNCTION("""COMPUTED_VALUE"""),"https://drive.google.com/drive/folders/1byRrKg_mgaTNzlHR84dsGlLvl1fggpQa?usp=sharing")</f>
        <v>https://drive.google.com/drive/folders/1byRrKg_mgaTNzlHR84dsGlLvl1fggpQa?usp=sharing</v>
      </c>
      <c r="DJ5" s="41">
        <f ca="1">IFERROR(__xludf.DUMMYFUNCTION("""COMPUTED_VALUE"""),2)</f>
        <v>2</v>
      </c>
      <c r="DK5" s="41">
        <f ca="1">IFERROR(__xludf.DUMMYFUNCTION("""COMPUTED_VALUE"""),5)</f>
        <v>5</v>
      </c>
      <c r="DL5" s="41">
        <f ca="1">IFERROR(__xludf.DUMMYFUNCTION("""COMPUTED_VALUE"""),3)</f>
        <v>3</v>
      </c>
      <c r="DM5" s="42" t="str">
        <f ca="1">IFERROR(__xludf.DUMMYFUNCTION("""COMPUTED_VALUE"""),"https://drive.google.com/drive/folders/1YFyScgdidSVXlcN5LUdlS39fxZBk9FuC?usp=sharing")</f>
        <v>https://drive.google.com/drive/folders/1YFyScgdidSVXlcN5LUdlS39fxZBk9FuC?usp=sharing</v>
      </c>
      <c r="DN5" s="41" t="str">
        <f ca="1">IFERROR(__xludf.DUMMYFUNCTION("""COMPUTED_VALUE"""),"MOHON UNTUK DIKOREKSI LAGI DALAMA PENGISIAN ISTRUMEN DAN DOKUMENTASI")</f>
        <v>MOHON UNTUK DIKOREKSI LAGI DALAMA PENGISIAN ISTRUMEN DAN DOKUMENTASI</v>
      </c>
      <c r="DO5" s="44" t="e">
        <f ca="1"/>
        <v>#NAME?</v>
      </c>
      <c r="DP5" s="46">
        <f ca="1"/>
        <v>1.2307692307692308</v>
      </c>
      <c r="DQ5" s="46">
        <f ca="1"/>
        <v>5</v>
      </c>
      <c r="DR5" s="46">
        <f ca="1"/>
        <v>2.2307692307692308</v>
      </c>
      <c r="DS5" s="46">
        <f ca="1"/>
        <v>1</v>
      </c>
      <c r="DT5" s="47">
        <f ca="1"/>
        <v>1.1666666666666667</v>
      </c>
      <c r="DU5" s="48">
        <f ca="1"/>
        <v>5</v>
      </c>
      <c r="DV5" s="48">
        <f ca="1"/>
        <v>2.1666666666666665</v>
      </c>
      <c r="DW5" s="48">
        <f ca="1"/>
        <v>0.99999999999999978</v>
      </c>
      <c r="DX5" s="50">
        <f ca="1"/>
        <v>1</v>
      </c>
      <c r="DY5" s="48">
        <f ca="1"/>
        <v>5</v>
      </c>
      <c r="DZ5" s="48">
        <f ca="1"/>
        <v>2</v>
      </c>
      <c r="EA5" s="48">
        <f ca="1"/>
        <v>1</v>
      </c>
      <c r="EB5" s="51">
        <f ca="1"/>
        <v>1.6666666666666667</v>
      </c>
      <c r="EC5" s="48">
        <f ca="1"/>
        <v>5</v>
      </c>
      <c r="ED5" s="48">
        <f ca="1"/>
        <v>2.6666666666666665</v>
      </c>
      <c r="EE5" s="48">
        <f ca="1"/>
        <v>0.99999999999999978</v>
      </c>
      <c r="EF5" s="52">
        <f ca="1"/>
        <v>1</v>
      </c>
      <c r="EG5" s="48">
        <f ca="1"/>
        <v>5</v>
      </c>
      <c r="EH5" s="48">
        <f ca="1"/>
        <v>2</v>
      </c>
      <c r="EI5" s="48">
        <f ca="1"/>
        <v>1</v>
      </c>
      <c r="EJ5" s="53">
        <f ca="1"/>
        <v>1</v>
      </c>
      <c r="EK5" s="48">
        <f ca="1"/>
        <v>5</v>
      </c>
      <c r="EL5" s="48">
        <f ca="1"/>
        <v>2</v>
      </c>
      <c r="EM5" s="48">
        <f ca="1"/>
        <v>1</v>
      </c>
      <c r="EN5" s="54">
        <f ca="1"/>
        <v>1.6</v>
      </c>
      <c r="EO5" s="48">
        <f ca="1"/>
        <v>5</v>
      </c>
      <c r="EP5" s="48">
        <f ca="1"/>
        <v>2.6</v>
      </c>
      <c r="EQ5" s="48">
        <f ca="1"/>
        <v>1</v>
      </c>
    </row>
    <row r="6" spans="1:155" ht="15.75" customHeight="1" x14ac:dyDescent="0.3">
      <c r="A6" s="40">
        <f ca="1">IFERROR(__xludf.DUMMYFUNCTION("""COMPUTED_VALUE"""),46110.4529022453)</f>
        <v>46110.452902245299</v>
      </c>
      <c r="B6" s="41" t="str">
        <f ca="1">IFERROR(__xludf.DUMMYFUNCTION("""COMPUTED_VALUE"""),"sentosaperangin-angin843@dinas.belajar.id")</f>
        <v>sentosaperangin-angin843@dinas.belajar.id</v>
      </c>
      <c r="C6" s="41">
        <f ca="1">IFERROR(__xludf.DUMMYFUNCTION("""COMPUTED_VALUE"""),10213241)</f>
        <v>10213241</v>
      </c>
      <c r="D6" s="41" t="str">
        <f ca="1">IFERROR(__xludf.DUMMYFUNCTION("""COMPUTED_VALUE"""),"Bangun Purba")</f>
        <v>Bangun Purba</v>
      </c>
      <c r="E6" s="41" t="str">
        <f ca="1">IFERROR(__xludf.DUMMYFUNCTION("""COMPUTED_VALUE"""),"SD")</f>
        <v>SD</v>
      </c>
      <c r="F6" s="41" t="str">
        <f ca="1">IFERROR(__xludf.DUMMYFUNCTION("""COMPUTED_VALUE"""),"UPT SPF SD NEGERI 101993 SUKALUE")</f>
        <v>UPT SPF SD NEGERI 101993 SUKALUE</v>
      </c>
      <c r="G6" s="41" t="str">
        <f ca="1">IFERROR(__xludf.DUMMYFUNCTION("""COMPUTED_VALUE"""),"Sentosa Perangin angin, S.Pd")</f>
        <v>Sentosa Perangin angin, S.Pd</v>
      </c>
      <c r="H6" s="41" t="str">
        <f ca="1">IFERROR(__xludf.DUMMYFUNCTION("""COMPUTED_VALUE"""),"082364981701")</f>
        <v>082364981701</v>
      </c>
      <c r="I6" s="41" t="str">
        <f ca="1">IFERROR(__xludf.DUMMYFUNCTION("""COMPUTED_VALUE"""),"RESDERIA SIRINGO-RINGO,S.Pd")</f>
        <v>RESDERIA SIRINGO-RINGO,S.Pd</v>
      </c>
      <c r="J6" s="41" t="str">
        <f ca="1">IFERROR(__xludf.DUMMYFUNCTION("""COMPUTED_VALUE"""),"085296306976")</f>
        <v>085296306976</v>
      </c>
      <c r="K6" s="41" t="str">
        <f ca="1">IFERROR(__xludf.DUMMYFUNCTION("""COMPUTED_VALUE"""),"TW1")</f>
        <v>TW1</v>
      </c>
      <c r="L6" s="41" t="str">
        <f ca="1">IFERROR(__xludf.DUMMYFUNCTION("""COMPUTED_VALUE"""),"Maret")</f>
        <v>Maret</v>
      </c>
      <c r="M6" s="41" t="str">
        <f ca="1">IFERROR(__xludf.DUMMYFUNCTION("""COMPUTED_VALUE"""),"IV")</f>
        <v>IV</v>
      </c>
      <c r="N6" s="41">
        <f ca="1">IFERROR(__xludf.DUMMYFUNCTION("""COMPUTED_VALUE"""),2)</f>
        <v>2</v>
      </c>
      <c r="O6" s="41">
        <f ca="1">IFERROR(__xludf.DUMMYFUNCTION("""COMPUTED_VALUE"""),5)</f>
        <v>5</v>
      </c>
      <c r="P6" s="41">
        <f ca="1">IFERROR(__xludf.DUMMYFUNCTION("""COMPUTED_VALUE"""),3)</f>
        <v>3</v>
      </c>
      <c r="Q6" s="42" t="str">
        <f ca="1">IFERROR(__xludf.DUMMYFUNCTION("""COMPUTED_VALUE"""),"https://drive.google.com/drive/folders/1TRvVQtnkUM-k9KZGVzhuuiIyy8iqtYc4?usp=sharing")</f>
        <v>https://drive.google.com/drive/folders/1TRvVQtnkUM-k9KZGVzhuuiIyy8iqtYc4?usp=sharing</v>
      </c>
      <c r="R6" s="41">
        <f ca="1">IFERROR(__xludf.DUMMYFUNCTION("""COMPUTED_VALUE"""),1)</f>
        <v>1</v>
      </c>
      <c r="S6" s="41">
        <f ca="1">IFERROR(__xludf.DUMMYFUNCTION("""COMPUTED_VALUE"""),5)</f>
        <v>5</v>
      </c>
      <c r="T6" s="41">
        <f ca="1">IFERROR(__xludf.DUMMYFUNCTION("""COMPUTED_VALUE"""),2)</f>
        <v>2</v>
      </c>
      <c r="U6" s="42" t="str">
        <f ca="1">IFERROR(__xludf.DUMMYFUNCTION("""COMPUTED_VALUE"""),"https://drive.google.com/drive/folders/1nDZEZAGdFN66kH76HXkH7R9N8QwTi-GX?usp=sharing")</f>
        <v>https://drive.google.com/drive/folders/1nDZEZAGdFN66kH76HXkH7R9N8QwTi-GX?usp=sharing</v>
      </c>
      <c r="V6" s="41">
        <f ca="1">IFERROR(__xludf.DUMMYFUNCTION("""COMPUTED_VALUE"""),1)</f>
        <v>1</v>
      </c>
      <c r="W6" s="41">
        <f ca="1">IFERROR(__xludf.DUMMYFUNCTION("""COMPUTED_VALUE"""),5)</f>
        <v>5</v>
      </c>
      <c r="X6" s="41">
        <f ca="1">IFERROR(__xludf.DUMMYFUNCTION("""COMPUTED_VALUE"""),2)</f>
        <v>2</v>
      </c>
      <c r="Y6" s="42" t="str">
        <f ca="1">IFERROR(__xludf.DUMMYFUNCTION("""COMPUTED_VALUE"""),"https://drive.google.com/drive/folders/114sC0N0Wa-0JQMgHbPDcl7nW86g7NO0g?usp=sharing")</f>
        <v>https://drive.google.com/drive/folders/114sC0N0Wa-0JQMgHbPDcl7nW86g7NO0g?usp=sharing</v>
      </c>
      <c r="Z6" s="41">
        <f ca="1">IFERROR(__xludf.DUMMYFUNCTION("""COMPUTED_VALUE"""),2)</f>
        <v>2</v>
      </c>
      <c r="AA6" s="41">
        <f ca="1">IFERROR(__xludf.DUMMYFUNCTION("""COMPUTED_VALUE"""),5)</f>
        <v>5</v>
      </c>
      <c r="AB6" s="41">
        <f ca="1">IFERROR(__xludf.DUMMYFUNCTION("""COMPUTED_VALUE"""),3)</f>
        <v>3</v>
      </c>
      <c r="AC6" s="42" t="str">
        <f ca="1">IFERROR(__xludf.DUMMYFUNCTION("""COMPUTED_VALUE"""),"https://drive.google.com/drive/folders/1DbtY4UN8hCvoLrCeqf4BsqpnzKWaVSTr?usp=sharing")</f>
        <v>https://drive.google.com/drive/folders/1DbtY4UN8hCvoLrCeqf4BsqpnzKWaVSTr?usp=sharing</v>
      </c>
      <c r="AD6" s="41">
        <f ca="1">IFERROR(__xludf.DUMMYFUNCTION("""COMPUTED_VALUE"""),1)</f>
        <v>1</v>
      </c>
      <c r="AE6" s="41">
        <f ca="1">IFERROR(__xludf.DUMMYFUNCTION("""COMPUTED_VALUE"""),5)</f>
        <v>5</v>
      </c>
      <c r="AF6" s="41">
        <f ca="1">IFERROR(__xludf.DUMMYFUNCTION("""COMPUTED_VALUE"""),2)</f>
        <v>2</v>
      </c>
      <c r="AG6" s="42" t="str">
        <f ca="1">IFERROR(__xludf.DUMMYFUNCTION("""COMPUTED_VALUE"""),"https://drive.google.com/drive/folders/17hLIYjIhiysIZGdkiBXPS36x4Grb0WSB?usp=sharing")</f>
        <v>https://drive.google.com/drive/folders/17hLIYjIhiysIZGdkiBXPS36x4Grb0WSB?usp=sharing</v>
      </c>
      <c r="AH6" s="41">
        <f ca="1">IFERROR(__xludf.DUMMYFUNCTION("""COMPUTED_VALUE"""),1)</f>
        <v>1</v>
      </c>
      <c r="AI6" s="41">
        <f ca="1">IFERROR(__xludf.DUMMYFUNCTION("""COMPUTED_VALUE"""),5)</f>
        <v>5</v>
      </c>
      <c r="AJ6" s="41">
        <f ca="1">IFERROR(__xludf.DUMMYFUNCTION("""COMPUTED_VALUE"""),2)</f>
        <v>2</v>
      </c>
      <c r="AK6" s="42" t="str">
        <f ca="1">IFERROR(__xludf.DUMMYFUNCTION("""COMPUTED_VALUE"""),"https://drive.google.com/drive/folders/18bKI7T92-snCffVS1STRSgQaToc5TAi2?usp=sharing")</f>
        <v>https://drive.google.com/drive/folders/18bKI7T92-snCffVS1STRSgQaToc5TAi2?usp=sharing</v>
      </c>
      <c r="AL6" s="41">
        <f ca="1">IFERROR(__xludf.DUMMYFUNCTION("""COMPUTED_VALUE"""),2)</f>
        <v>2</v>
      </c>
      <c r="AM6" s="41">
        <f ca="1">IFERROR(__xludf.DUMMYFUNCTION("""COMPUTED_VALUE"""),5)</f>
        <v>5</v>
      </c>
      <c r="AN6" s="41">
        <f ca="1">IFERROR(__xludf.DUMMYFUNCTION("""COMPUTED_VALUE"""),3)</f>
        <v>3</v>
      </c>
      <c r="AO6" s="42" t="str">
        <f ca="1">IFERROR(__xludf.DUMMYFUNCTION("""COMPUTED_VALUE"""),"https://drive.google.com/drive/folders/1Rgge9xesRfP7o5MCpYMwWAs877bZzuYu?usp=sharing")</f>
        <v>https://drive.google.com/drive/folders/1Rgge9xesRfP7o5MCpYMwWAs877bZzuYu?usp=sharing</v>
      </c>
      <c r="AP6" s="41">
        <f ca="1">IFERROR(__xludf.DUMMYFUNCTION("""COMPUTED_VALUE"""),1)</f>
        <v>1</v>
      </c>
      <c r="AQ6" s="41">
        <f ca="1">IFERROR(__xludf.DUMMYFUNCTION("""COMPUTED_VALUE"""),5)</f>
        <v>5</v>
      </c>
      <c r="AR6" s="41">
        <f ca="1">IFERROR(__xludf.DUMMYFUNCTION("""COMPUTED_VALUE"""),2)</f>
        <v>2</v>
      </c>
      <c r="AS6" s="42" t="str">
        <f ca="1">IFERROR(__xludf.DUMMYFUNCTION("""COMPUTED_VALUE"""),"https://drive.google.com/drive/folders/1Rgge9xesRfP7o5MCpYMwWAs877bZzuYu?usp=sharing")</f>
        <v>https://drive.google.com/drive/folders/1Rgge9xesRfP7o5MCpYMwWAs877bZzuYu?usp=sharing</v>
      </c>
      <c r="AT6" s="41">
        <f ca="1">IFERROR(__xludf.DUMMYFUNCTION("""COMPUTED_VALUE"""),1)</f>
        <v>1</v>
      </c>
      <c r="AU6" s="41">
        <f ca="1">IFERROR(__xludf.DUMMYFUNCTION("""COMPUTED_VALUE"""),5)</f>
        <v>5</v>
      </c>
      <c r="AV6" s="41">
        <f ca="1">IFERROR(__xludf.DUMMYFUNCTION("""COMPUTED_VALUE"""),2)</f>
        <v>2</v>
      </c>
      <c r="AW6" s="42" t="str">
        <f ca="1">IFERROR(__xludf.DUMMYFUNCTION("""COMPUTED_VALUE"""),"https://drive.google.com/drive/folders/1JSDZ47CerA19LeEGG1FvLMxT58LjASBp?usp=sharing")</f>
        <v>https://drive.google.com/drive/folders/1JSDZ47CerA19LeEGG1FvLMxT58LjASBp?usp=sharing</v>
      </c>
      <c r="AX6" s="41">
        <f ca="1">IFERROR(__xludf.DUMMYFUNCTION("""COMPUTED_VALUE"""),1)</f>
        <v>1</v>
      </c>
      <c r="AY6" s="41">
        <f ca="1">IFERROR(__xludf.DUMMYFUNCTION("""COMPUTED_VALUE"""),5)</f>
        <v>5</v>
      </c>
      <c r="AZ6" s="41">
        <f ca="1">IFERROR(__xludf.DUMMYFUNCTION("""COMPUTED_VALUE"""),2)</f>
        <v>2</v>
      </c>
      <c r="BA6" s="42" t="str">
        <f ca="1">IFERROR(__xludf.DUMMYFUNCTION("""COMPUTED_VALUE"""),"https://drive.google.com/drive/folders/11rH-SthpRl4IMRq37Wm4teAmI2TlezSS?usp=sharing")</f>
        <v>https://drive.google.com/drive/folders/11rH-SthpRl4IMRq37Wm4teAmI2TlezSS?usp=sharing</v>
      </c>
      <c r="BB6" s="41">
        <f ca="1">IFERROR(__xludf.DUMMYFUNCTION("""COMPUTED_VALUE"""),1)</f>
        <v>1</v>
      </c>
      <c r="BC6" s="41">
        <f ca="1">IFERROR(__xludf.DUMMYFUNCTION("""COMPUTED_VALUE"""),5)</f>
        <v>5</v>
      </c>
      <c r="BD6" s="41">
        <f ca="1">IFERROR(__xludf.DUMMYFUNCTION("""COMPUTED_VALUE"""),2)</f>
        <v>2</v>
      </c>
      <c r="BE6" s="42" t="str">
        <f ca="1">IFERROR(__xludf.DUMMYFUNCTION("""COMPUTED_VALUE"""),"https://drive.google.com/drive/folders/11rH-SthpRl4IMRq37Wm4teAmI2TlezSS?usp=sharing")</f>
        <v>https://drive.google.com/drive/folders/11rH-SthpRl4IMRq37Wm4teAmI2TlezSS?usp=sharing</v>
      </c>
      <c r="BF6" s="41">
        <f ca="1">IFERROR(__xludf.DUMMYFUNCTION("""COMPUTED_VALUE"""),2)</f>
        <v>2</v>
      </c>
      <c r="BG6" s="41">
        <f ca="1">IFERROR(__xludf.DUMMYFUNCTION("""COMPUTED_VALUE"""),5)</f>
        <v>5</v>
      </c>
      <c r="BH6" s="41">
        <f ca="1">IFERROR(__xludf.DUMMYFUNCTION("""COMPUTED_VALUE"""),3)</f>
        <v>3</v>
      </c>
      <c r="BI6" s="42" t="str">
        <f ca="1">IFERROR(__xludf.DUMMYFUNCTION("""COMPUTED_VALUE"""),"https://drive.google.com/drive/folders/15wdTEJqH0e_lLCW_ANtgNCCnIXSFQlSM?usp=sharing")</f>
        <v>https://drive.google.com/drive/folders/15wdTEJqH0e_lLCW_ANtgNCCnIXSFQlSM?usp=sharing</v>
      </c>
      <c r="BJ6" s="41">
        <f ca="1">IFERROR(__xludf.DUMMYFUNCTION("""COMPUTED_VALUE"""),2)</f>
        <v>2</v>
      </c>
      <c r="BK6" s="41">
        <f ca="1">IFERROR(__xludf.DUMMYFUNCTION("""COMPUTED_VALUE"""),5)</f>
        <v>5</v>
      </c>
      <c r="BL6" s="41">
        <f ca="1">IFERROR(__xludf.DUMMYFUNCTION("""COMPUTED_VALUE"""),3)</f>
        <v>3</v>
      </c>
      <c r="BM6" s="42" t="str">
        <f ca="1">IFERROR(__xludf.DUMMYFUNCTION("""COMPUTED_VALUE"""),"https://drive.google.com/drive/folders/1nFFGpQUVDYg7DxmczNeIoAIB4yT-Z39p?usp=sharing")</f>
        <v>https://drive.google.com/drive/folders/1nFFGpQUVDYg7DxmczNeIoAIB4yT-Z39p?usp=sharing</v>
      </c>
      <c r="BN6" s="41">
        <f ca="1">IFERROR(__xludf.DUMMYFUNCTION("""COMPUTED_VALUE"""),1)</f>
        <v>1</v>
      </c>
      <c r="BO6" s="41">
        <f ca="1">IFERROR(__xludf.DUMMYFUNCTION("""COMPUTED_VALUE"""),5)</f>
        <v>5</v>
      </c>
      <c r="BP6" s="41">
        <f ca="1">IFERROR(__xludf.DUMMYFUNCTION("""COMPUTED_VALUE"""),2)</f>
        <v>2</v>
      </c>
      <c r="BQ6" s="42" t="str">
        <f ca="1">IFERROR(__xludf.DUMMYFUNCTION("""COMPUTED_VALUE"""),"https://drive.google.com/drive/folders/1nFFGpQUVDYg7DxmczNeIoAIB4yT-Z39p?usp=sharing")</f>
        <v>https://drive.google.com/drive/folders/1nFFGpQUVDYg7DxmczNeIoAIB4yT-Z39p?usp=sharing</v>
      </c>
      <c r="BR6" s="41">
        <f ca="1">IFERROR(__xludf.DUMMYFUNCTION("""COMPUTED_VALUE"""),1)</f>
        <v>1</v>
      </c>
      <c r="BS6" s="41">
        <f ca="1">IFERROR(__xludf.DUMMYFUNCTION("""COMPUTED_VALUE"""),5)</f>
        <v>5</v>
      </c>
      <c r="BT6" s="41">
        <f ca="1">IFERROR(__xludf.DUMMYFUNCTION("""COMPUTED_VALUE"""),2)</f>
        <v>2</v>
      </c>
      <c r="BU6" s="42" t="str">
        <f ca="1">IFERROR(__xludf.DUMMYFUNCTION("""COMPUTED_VALUE"""),"https://drive.google.com/drive/folders/1w5YebTA4H51IlHugVD8jZF_dijkFFV9C?usp=sharing")</f>
        <v>https://drive.google.com/drive/folders/1w5YebTA4H51IlHugVD8jZF_dijkFFV9C?usp=sharing</v>
      </c>
      <c r="BV6" s="41">
        <f ca="1">IFERROR(__xludf.DUMMYFUNCTION("""COMPUTED_VALUE"""),1)</f>
        <v>1</v>
      </c>
      <c r="BW6" s="41">
        <f ca="1">IFERROR(__xludf.DUMMYFUNCTION("""COMPUTED_VALUE"""),5)</f>
        <v>5</v>
      </c>
      <c r="BX6" s="41">
        <f ca="1">IFERROR(__xludf.DUMMYFUNCTION("""COMPUTED_VALUE"""),2)</f>
        <v>2</v>
      </c>
      <c r="BY6" s="43" t="str">
        <f ca="1">IFERROR(__xludf.DUMMYFUNCTION("""COMPUTED_VALUE"""),"https://drive.google.com/drive/folders/1h-8QmRj-i6PxTyLXB2kTzMF-M9AG7Th6?usp=sharing")</f>
        <v>https://drive.google.com/drive/folders/1h-8QmRj-i6PxTyLXB2kTzMF-M9AG7Th6?usp=sharing</v>
      </c>
      <c r="BZ6" s="41">
        <f ca="1">IFERROR(__xludf.DUMMYFUNCTION("""COMPUTED_VALUE"""),1)</f>
        <v>1</v>
      </c>
      <c r="CA6" s="41">
        <f ca="1">IFERROR(__xludf.DUMMYFUNCTION("""COMPUTED_VALUE"""),5)</f>
        <v>5</v>
      </c>
      <c r="CB6" s="41">
        <f ca="1">IFERROR(__xludf.DUMMYFUNCTION("""COMPUTED_VALUE"""),2)</f>
        <v>2</v>
      </c>
      <c r="CC6" s="42" t="str">
        <f ca="1">IFERROR(__xludf.DUMMYFUNCTION("""COMPUTED_VALUE"""),"https://drive.google.com/drive/folders/1h-8QmRj-i6PxTyLXB2kTzMF-M9AG7Th6?usp=sharing")</f>
        <v>https://drive.google.com/drive/folders/1h-8QmRj-i6PxTyLXB2kTzMF-M9AG7Th6?usp=sharing</v>
      </c>
      <c r="CD6" s="41">
        <f ca="1">IFERROR(__xludf.DUMMYFUNCTION("""COMPUTED_VALUE"""),1)</f>
        <v>1</v>
      </c>
      <c r="CE6" s="41">
        <f ca="1">IFERROR(__xludf.DUMMYFUNCTION("""COMPUTED_VALUE"""),5)</f>
        <v>5</v>
      </c>
      <c r="CF6" s="41">
        <f ca="1">IFERROR(__xludf.DUMMYFUNCTION("""COMPUTED_VALUE"""),2)</f>
        <v>2</v>
      </c>
      <c r="CG6" s="42" t="str">
        <f ca="1">IFERROR(__xludf.DUMMYFUNCTION("""COMPUTED_VALUE"""),"https://drive.google.com/drive/folders/1rWIjNa_FbtEwb3ZuganhL_cS-oi0iGZI?usp=sharing")</f>
        <v>https://drive.google.com/drive/folders/1rWIjNa_FbtEwb3ZuganhL_cS-oi0iGZI?usp=sharing</v>
      </c>
      <c r="CH6" s="41">
        <f ca="1">IFERROR(__xludf.DUMMYFUNCTION("""COMPUTED_VALUE"""),1)</f>
        <v>1</v>
      </c>
      <c r="CI6" s="41">
        <f ca="1">IFERROR(__xludf.DUMMYFUNCTION("""COMPUTED_VALUE"""),5)</f>
        <v>5</v>
      </c>
      <c r="CJ6" s="41">
        <f ca="1">IFERROR(__xludf.DUMMYFUNCTION("""COMPUTED_VALUE"""),2)</f>
        <v>2</v>
      </c>
      <c r="CK6" s="42" t="str">
        <f ca="1">IFERROR(__xludf.DUMMYFUNCTION("""COMPUTED_VALUE"""),"https://drive.google.com/drive/folders/1K0PsdJ3GaFJUx44fksOkZIa-kEsA_KrB?usp=sharing")</f>
        <v>https://drive.google.com/drive/folders/1K0PsdJ3GaFJUx44fksOkZIa-kEsA_KrB?usp=sharing</v>
      </c>
      <c r="CL6" s="41">
        <f ca="1">IFERROR(__xludf.DUMMYFUNCTION("""COMPUTED_VALUE"""),2)</f>
        <v>2</v>
      </c>
      <c r="CM6" s="41">
        <f ca="1">IFERROR(__xludf.DUMMYFUNCTION("""COMPUTED_VALUE"""),5)</f>
        <v>5</v>
      </c>
      <c r="CN6" s="41">
        <f ca="1">IFERROR(__xludf.DUMMYFUNCTION("""COMPUTED_VALUE"""),3)</f>
        <v>3</v>
      </c>
      <c r="CO6" s="42" t="str">
        <f ca="1">IFERROR(__xludf.DUMMYFUNCTION("""COMPUTED_VALUE"""),"https://drive.google.com/drive/folders/1NKt2LDl9eeKzkPu5DAAbWu0NB0h8L6wt?usp=sharing")</f>
        <v>https://drive.google.com/drive/folders/1NKt2LDl9eeKzkPu5DAAbWu0NB0h8L6wt?usp=sharing</v>
      </c>
      <c r="CP6" s="41">
        <f ca="1">IFERROR(__xludf.DUMMYFUNCTION("""COMPUTED_VALUE"""),1)</f>
        <v>1</v>
      </c>
      <c r="CQ6" s="41">
        <f ca="1">IFERROR(__xludf.DUMMYFUNCTION("""COMPUTED_VALUE"""),5)</f>
        <v>5</v>
      </c>
      <c r="CR6" s="41">
        <f ca="1">IFERROR(__xludf.DUMMYFUNCTION("""COMPUTED_VALUE"""),2)</f>
        <v>2</v>
      </c>
      <c r="CS6" s="42" t="str">
        <f ca="1">IFERROR(__xludf.DUMMYFUNCTION("""COMPUTED_VALUE"""),"https://drive.google.com/drive/folders/18yUHX1zw812nXaV5JQ9GqCm3MtOKlvXc?usp=sharing")</f>
        <v>https://drive.google.com/drive/folders/18yUHX1zw812nXaV5JQ9GqCm3MtOKlvXc?usp=sharing</v>
      </c>
      <c r="CT6" s="41">
        <f ca="1">IFERROR(__xludf.DUMMYFUNCTION("""COMPUTED_VALUE"""),2)</f>
        <v>2</v>
      </c>
      <c r="CU6" s="41">
        <f ca="1">IFERROR(__xludf.DUMMYFUNCTION("""COMPUTED_VALUE"""),5)</f>
        <v>5</v>
      </c>
      <c r="CV6" s="41">
        <f ca="1">IFERROR(__xludf.DUMMYFUNCTION("""COMPUTED_VALUE"""),3)</f>
        <v>3</v>
      </c>
      <c r="CW6" s="42" t="str">
        <f ca="1">IFERROR(__xludf.DUMMYFUNCTION("""COMPUTED_VALUE"""),"https://drive.google.com/drive/folders/1VOn883euysuC5WTGkrGmpOfWm1DEA0a5?usp=sharing")</f>
        <v>https://drive.google.com/drive/folders/1VOn883euysuC5WTGkrGmpOfWm1DEA0a5?usp=sharing</v>
      </c>
      <c r="CX6" s="41">
        <f ca="1">IFERROR(__xludf.DUMMYFUNCTION("""COMPUTED_VALUE"""),2)</f>
        <v>2</v>
      </c>
      <c r="CY6" s="41">
        <f ca="1">IFERROR(__xludf.DUMMYFUNCTION("""COMPUTED_VALUE"""),5)</f>
        <v>5</v>
      </c>
      <c r="CZ6" s="41">
        <f ca="1">IFERROR(__xludf.DUMMYFUNCTION("""COMPUTED_VALUE"""),3)</f>
        <v>3</v>
      </c>
      <c r="DA6" s="42" t="str">
        <f ca="1">IFERROR(__xludf.DUMMYFUNCTION("""COMPUTED_VALUE"""),"https://drive.google.com/drive/folders/1K62oOJEJcJuAdGxxx-3iWNtNELTQpIzT?usp=sharing")</f>
        <v>https://drive.google.com/drive/folders/1K62oOJEJcJuAdGxxx-3iWNtNELTQpIzT?usp=sharing</v>
      </c>
      <c r="DB6" s="41">
        <f ca="1">IFERROR(__xludf.DUMMYFUNCTION("""COMPUTED_VALUE"""),2)</f>
        <v>2</v>
      </c>
      <c r="DC6" s="41">
        <f ca="1">IFERROR(__xludf.DUMMYFUNCTION("""COMPUTED_VALUE"""),5)</f>
        <v>5</v>
      </c>
      <c r="DD6" s="41">
        <f ca="1">IFERROR(__xludf.DUMMYFUNCTION("""COMPUTED_VALUE"""),3)</f>
        <v>3</v>
      </c>
      <c r="DE6" s="42" t="str">
        <f ca="1">IFERROR(__xludf.DUMMYFUNCTION("""COMPUTED_VALUE"""),"https://drive.google.com/drive/folders/14ZnliumyxiswOjnjYRhVF0Eb85-qNeLC?usp=sharing")</f>
        <v>https://drive.google.com/drive/folders/14ZnliumyxiswOjnjYRhVF0Eb85-qNeLC?usp=sharing</v>
      </c>
      <c r="DF6" s="41">
        <f ca="1">IFERROR(__xludf.DUMMYFUNCTION("""COMPUTED_VALUE"""),2)</f>
        <v>2</v>
      </c>
      <c r="DG6" s="41">
        <f ca="1">IFERROR(__xludf.DUMMYFUNCTION("""COMPUTED_VALUE"""),5)</f>
        <v>5</v>
      </c>
      <c r="DH6" s="41">
        <f ca="1">IFERROR(__xludf.DUMMYFUNCTION("""COMPUTED_VALUE"""),3)</f>
        <v>3</v>
      </c>
      <c r="DI6" s="42" t="str">
        <f ca="1">IFERROR(__xludf.DUMMYFUNCTION("""COMPUTED_VALUE"""),"https://drive.google.com/drive/folders/1QTpN1SG7COhy70hNCNiXiRm8RmZ1CUur?usp=sharing")</f>
        <v>https://drive.google.com/drive/folders/1QTpN1SG7COhy70hNCNiXiRm8RmZ1CUur?usp=sharing</v>
      </c>
      <c r="DJ6" s="41">
        <f ca="1">IFERROR(__xludf.DUMMYFUNCTION("""COMPUTED_VALUE"""),2)</f>
        <v>2</v>
      </c>
      <c r="DK6" s="41">
        <f ca="1">IFERROR(__xludf.DUMMYFUNCTION("""COMPUTED_VALUE"""),5)</f>
        <v>5</v>
      </c>
      <c r="DL6" s="41">
        <f ca="1">IFERROR(__xludf.DUMMYFUNCTION("""COMPUTED_VALUE"""),3)</f>
        <v>3</v>
      </c>
      <c r="DM6" s="42" t="str">
        <f ca="1">IFERROR(__xludf.DUMMYFUNCTION("""COMPUTED_VALUE"""),"https://drive.google.com/drive/folders/1zvIAF2otwWyjv_nNVzW9oTq9ZTGy_8-W?usp=sharing")</f>
        <v>https://drive.google.com/drive/folders/1zvIAF2otwWyjv_nNVzW9oTq9ZTGy_8-W?usp=sharing</v>
      </c>
      <c r="DN6" s="41" t="str">
        <f ca="1">IFERROR(__xludf.DUMMYFUNCTION("""COMPUTED_VALUE"""),"LEBIH MENINGKATKAN LAGI KINERJA PADA TRIWULAN BERIKUTNYA")</f>
        <v>LEBIH MENINGKATKAN LAGI KINERJA PADA TRIWULAN BERIKUTNYA</v>
      </c>
      <c r="DO6" s="44" t="e">
        <f ca="1"/>
        <v>#NAME?</v>
      </c>
      <c r="DP6" s="46">
        <f ca="1"/>
        <v>1.4230769230769231</v>
      </c>
      <c r="DQ6" s="46">
        <f ca="1"/>
        <v>5</v>
      </c>
      <c r="DR6" s="46">
        <f ca="1"/>
        <v>2.4230769230769229</v>
      </c>
      <c r="DS6" s="46">
        <f ca="1"/>
        <v>0.99999999999999978</v>
      </c>
      <c r="DT6" s="47">
        <f ca="1"/>
        <v>1.3333333333333333</v>
      </c>
      <c r="DU6" s="48">
        <f ca="1"/>
        <v>5</v>
      </c>
      <c r="DV6" s="48">
        <f ca="1"/>
        <v>2.3333333333333335</v>
      </c>
      <c r="DW6" s="48">
        <f ca="1"/>
        <v>1.0000000000000002</v>
      </c>
      <c r="DX6" s="50">
        <f ca="1"/>
        <v>1.25</v>
      </c>
      <c r="DY6" s="48">
        <f ca="1"/>
        <v>5</v>
      </c>
      <c r="DZ6" s="48">
        <f ca="1"/>
        <v>2.25</v>
      </c>
      <c r="EA6" s="48">
        <f ca="1"/>
        <v>1</v>
      </c>
      <c r="EB6" s="51">
        <f ca="1"/>
        <v>1.6666666666666667</v>
      </c>
      <c r="EC6" s="48">
        <f ca="1"/>
        <v>5</v>
      </c>
      <c r="ED6" s="48">
        <f ca="1"/>
        <v>2.6666666666666665</v>
      </c>
      <c r="EE6" s="48">
        <f ca="1"/>
        <v>0.99999999999999978</v>
      </c>
      <c r="EF6" s="52">
        <f ca="1"/>
        <v>1</v>
      </c>
      <c r="EG6" s="48">
        <f ca="1"/>
        <v>5</v>
      </c>
      <c r="EH6" s="48">
        <f ca="1"/>
        <v>2</v>
      </c>
      <c r="EI6" s="48">
        <f ca="1"/>
        <v>1</v>
      </c>
      <c r="EJ6" s="53">
        <f ca="1"/>
        <v>1.2</v>
      </c>
      <c r="EK6" s="48">
        <f ca="1"/>
        <v>5</v>
      </c>
      <c r="EL6" s="48">
        <f ca="1"/>
        <v>2.2000000000000002</v>
      </c>
      <c r="EM6" s="48">
        <f ca="1"/>
        <v>1.0000000000000002</v>
      </c>
      <c r="EN6" s="54">
        <f ca="1"/>
        <v>2</v>
      </c>
      <c r="EO6" s="48">
        <f ca="1"/>
        <v>5</v>
      </c>
      <c r="EP6" s="48">
        <f ca="1"/>
        <v>3</v>
      </c>
      <c r="EQ6" s="48">
        <f ca="1"/>
        <v>1</v>
      </c>
    </row>
    <row r="7" spans="1:155" ht="15.75" customHeight="1" x14ac:dyDescent="0.3">
      <c r="A7" s="40">
        <f ca="1">IFERROR(__xludf.DUMMYFUNCTION("""COMPUTED_VALUE"""),46110.4581940393)</f>
        <v>46110.458194039304</v>
      </c>
      <c r="B7" s="41" t="str">
        <f ca="1">IFERROR(__xludf.DUMMYFUNCTION("""COMPUTED_VALUE"""),"linda.purba24@guru.sd.belajar.id")</f>
        <v>linda.purba24@guru.sd.belajar.id</v>
      </c>
      <c r="C7" s="41">
        <f ca="1">IFERROR(__xludf.DUMMYFUNCTION("""COMPUTED_VALUE"""),10200218)</f>
        <v>10200218</v>
      </c>
      <c r="D7" s="41" t="str">
        <f ca="1">IFERROR(__xludf.DUMMYFUNCTION("""COMPUTED_VALUE"""),"Bangun Purba")</f>
        <v>Bangun Purba</v>
      </c>
      <c r="E7" s="41" t="str">
        <f ca="1">IFERROR(__xludf.DUMMYFUNCTION("""COMPUTED_VALUE"""),"SD")</f>
        <v>SD</v>
      </c>
      <c r="F7" s="41" t="str">
        <f ca="1">IFERROR(__xludf.DUMMYFUNCTION("""COMPUTED_VALUE"""),"UPT SPF SD NEGERI 101996 BATU RATA")</f>
        <v>UPT SPF SD NEGERI 101996 BATU RATA</v>
      </c>
      <c r="G7" s="41" t="str">
        <f ca="1">IFERROR(__xludf.DUMMYFUNCTION("""COMPUTED_VALUE"""),"Linda Purba, S. Pd")</f>
        <v>Linda Purba, S. Pd</v>
      </c>
      <c r="H7" s="41" t="str">
        <f ca="1">IFERROR(__xludf.DUMMYFUNCTION("""COMPUTED_VALUE"""),"081397495277")</f>
        <v>081397495277</v>
      </c>
      <c r="I7" s="41" t="str">
        <f ca="1">IFERROR(__xludf.DUMMYFUNCTION("""COMPUTED_VALUE"""),"BUNGALIAS DAMANIK, S.Pd")</f>
        <v>BUNGALIAS DAMANIK, S.Pd</v>
      </c>
      <c r="J7" s="41" t="str">
        <f ca="1">IFERROR(__xludf.DUMMYFUNCTION("""COMPUTED_VALUE"""),"081270634502")</f>
        <v>081270634502</v>
      </c>
      <c r="K7" s="41" t="str">
        <f ca="1">IFERROR(__xludf.DUMMYFUNCTION("""COMPUTED_VALUE"""),"TW1")</f>
        <v>TW1</v>
      </c>
      <c r="L7" s="41" t="str">
        <f ca="1">IFERROR(__xludf.DUMMYFUNCTION("""COMPUTED_VALUE"""),"Maret")</f>
        <v>Maret</v>
      </c>
      <c r="M7" s="41" t="str">
        <f ca="1">IFERROR(__xludf.DUMMYFUNCTION("""COMPUTED_VALUE"""),"IV")</f>
        <v>IV</v>
      </c>
      <c r="N7" s="41">
        <f ca="1">IFERROR(__xludf.DUMMYFUNCTION("""COMPUTED_VALUE"""),1)</f>
        <v>1</v>
      </c>
      <c r="O7" s="41">
        <f ca="1">IFERROR(__xludf.DUMMYFUNCTION("""COMPUTED_VALUE"""),5)</f>
        <v>5</v>
      </c>
      <c r="P7" s="41">
        <f ca="1">IFERROR(__xludf.DUMMYFUNCTION("""COMPUTED_VALUE"""),2)</f>
        <v>2</v>
      </c>
      <c r="Q7" s="42" t="str">
        <f ca="1">IFERROR(__xludf.DUMMYFUNCTION("""COMPUTED_VALUE"""),"https://drive.google.com/drive/folders/1kgFuRpvaGI26W4TraW2tyCR7DSeu7fVT?usp=sharing")</f>
        <v>https://drive.google.com/drive/folders/1kgFuRpvaGI26W4TraW2tyCR7DSeu7fVT?usp=sharing</v>
      </c>
      <c r="R7" s="41">
        <f ca="1">IFERROR(__xludf.DUMMYFUNCTION("""COMPUTED_VALUE"""),1)</f>
        <v>1</v>
      </c>
      <c r="S7" s="41">
        <f ca="1">IFERROR(__xludf.DUMMYFUNCTION("""COMPUTED_VALUE"""),5)</f>
        <v>5</v>
      </c>
      <c r="T7" s="41">
        <f ca="1">IFERROR(__xludf.DUMMYFUNCTION("""COMPUTED_VALUE"""),2)</f>
        <v>2</v>
      </c>
      <c r="U7" s="42" t="str">
        <f ca="1">IFERROR(__xludf.DUMMYFUNCTION("""COMPUTED_VALUE"""),"https://drive.google.com/drive/folders/1s0Qp4qihzc03-ax92Kh3Q3am73l2CIFy?usp=sharing")</f>
        <v>https://drive.google.com/drive/folders/1s0Qp4qihzc03-ax92Kh3Q3am73l2CIFy?usp=sharing</v>
      </c>
      <c r="V7" s="41">
        <f ca="1">IFERROR(__xludf.DUMMYFUNCTION("""COMPUTED_VALUE"""),1)</f>
        <v>1</v>
      </c>
      <c r="W7" s="41">
        <f ca="1">IFERROR(__xludf.DUMMYFUNCTION("""COMPUTED_VALUE"""),5)</f>
        <v>5</v>
      </c>
      <c r="X7" s="41">
        <f ca="1">IFERROR(__xludf.DUMMYFUNCTION("""COMPUTED_VALUE"""),2)</f>
        <v>2</v>
      </c>
      <c r="Y7" s="42" t="str">
        <f ca="1">IFERROR(__xludf.DUMMYFUNCTION("""COMPUTED_VALUE"""),"https://drive.google.com/drive/folders/1S4NcS07W2Vt-_1BYs-mIGH_D1Y-mAk0j?usp=sharing")</f>
        <v>https://drive.google.com/drive/folders/1S4NcS07W2Vt-_1BYs-mIGH_D1Y-mAk0j?usp=sharing</v>
      </c>
      <c r="Z7" s="41">
        <f ca="1">IFERROR(__xludf.DUMMYFUNCTION("""COMPUTED_VALUE"""),1)</f>
        <v>1</v>
      </c>
      <c r="AA7" s="41">
        <f ca="1">IFERROR(__xludf.DUMMYFUNCTION("""COMPUTED_VALUE"""),5)</f>
        <v>5</v>
      </c>
      <c r="AB7" s="41">
        <f ca="1">IFERROR(__xludf.DUMMYFUNCTION("""COMPUTED_VALUE"""),2)</f>
        <v>2</v>
      </c>
      <c r="AC7" s="42" t="str">
        <f ca="1">IFERROR(__xludf.DUMMYFUNCTION("""COMPUTED_VALUE"""),"https://drive.google.com/drive/folders/1LjzTbnT_5_QVcjtZXWoN4DBmw0rFriii?usp=sharing")</f>
        <v>https://drive.google.com/drive/folders/1LjzTbnT_5_QVcjtZXWoN4DBmw0rFriii?usp=sharing</v>
      </c>
      <c r="AD7" s="41">
        <f ca="1">IFERROR(__xludf.DUMMYFUNCTION("""COMPUTED_VALUE"""),1)</f>
        <v>1</v>
      </c>
      <c r="AE7" s="41">
        <f ca="1">IFERROR(__xludf.DUMMYFUNCTION("""COMPUTED_VALUE"""),5)</f>
        <v>5</v>
      </c>
      <c r="AF7" s="41">
        <f ca="1">IFERROR(__xludf.DUMMYFUNCTION("""COMPUTED_VALUE"""),2)</f>
        <v>2</v>
      </c>
      <c r="AG7" s="42" t="str">
        <f ca="1">IFERROR(__xludf.DUMMYFUNCTION("""COMPUTED_VALUE"""),"https://drive.google.com/drive/folders/1XQmMaCGbopr8_p5tSDWcZv6VAu2mzSAP?usp=sharing")</f>
        <v>https://drive.google.com/drive/folders/1XQmMaCGbopr8_p5tSDWcZv6VAu2mzSAP?usp=sharing</v>
      </c>
      <c r="AH7" s="41">
        <f ca="1">IFERROR(__xludf.DUMMYFUNCTION("""COMPUTED_VALUE"""),1)</f>
        <v>1</v>
      </c>
      <c r="AI7" s="41">
        <f ca="1">IFERROR(__xludf.DUMMYFUNCTION("""COMPUTED_VALUE"""),5)</f>
        <v>5</v>
      </c>
      <c r="AJ7" s="41">
        <f ca="1">IFERROR(__xludf.DUMMYFUNCTION("""COMPUTED_VALUE"""),2)</f>
        <v>2</v>
      </c>
      <c r="AK7" s="42" t="str">
        <f ca="1">IFERROR(__xludf.DUMMYFUNCTION("""COMPUTED_VALUE"""),"https://drive.google.com/drive/folders/1prOMMGbcsW8OGpMfZLDrZPkwUzStMcuC?usp=sharing")</f>
        <v>https://drive.google.com/drive/folders/1prOMMGbcsW8OGpMfZLDrZPkwUzStMcuC?usp=sharing</v>
      </c>
      <c r="AL7" s="41">
        <f ca="1">IFERROR(__xludf.DUMMYFUNCTION("""COMPUTED_VALUE"""),1)</f>
        <v>1</v>
      </c>
      <c r="AM7" s="41">
        <f ca="1">IFERROR(__xludf.DUMMYFUNCTION("""COMPUTED_VALUE"""),5)</f>
        <v>5</v>
      </c>
      <c r="AN7" s="41">
        <f ca="1">IFERROR(__xludf.DUMMYFUNCTION("""COMPUTED_VALUE"""),2)</f>
        <v>2</v>
      </c>
      <c r="AO7" s="42" t="str">
        <f ca="1">IFERROR(__xludf.DUMMYFUNCTION("""COMPUTED_VALUE"""),"https://drive.google.com/drive/folders/1rm8CupoA7dpYV0D68sfKScJdGzx3F2NB?usp=sharing")</f>
        <v>https://drive.google.com/drive/folders/1rm8CupoA7dpYV0D68sfKScJdGzx3F2NB?usp=sharing</v>
      </c>
      <c r="AP7" s="41">
        <f ca="1">IFERROR(__xludf.DUMMYFUNCTION("""COMPUTED_VALUE"""),1)</f>
        <v>1</v>
      </c>
      <c r="AQ7" s="41">
        <f ca="1">IFERROR(__xludf.DUMMYFUNCTION("""COMPUTED_VALUE"""),5)</f>
        <v>5</v>
      </c>
      <c r="AR7" s="41">
        <f ca="1">IFERROR(__xludf.DUMMYFUNCTION("""COMPUTED_VALUE"""),2)</f>
        <v>2</v>
      </c>
      <c r="AS7" s="42" t="str">
        <f ca="1">IFERROR(__xludf.DUMMYFUNCTION("""COMPUTED_VALUE"""),"https://drive.google.com/drive/folders/1GKH7K_DLfpLrVfD63ujy4LRwlJDUvTFh?usp=sharing")</f>
        <v>https://drive.google.com/drive/folders/1GKH7K_DLfpLrVfD63ujy4LRwlJDUvTFh?usp=sharing</v>
      </c>
      <c r="AT7" s="41">
        <f ca="1">IFERROR(__xludf.DUMMYFUNCTION("""COMPUTED_VALUE"""),1)</f>
        <v>1</v>
      </c>
      <c r="AU7" s="41">
        <f ca="1">IFERROR(__xludf.DUMMYFUNCTION("""COMPUTED_VALUE"""),5)</f>
        <v>5</v>
      </c>
      <c r="AV7" s="41">
        <f ca="1">IFERROR(__xludf.DUMMYFUNCTION("""COMPUTED_VALUE"""),2)</f>
        <v>2</v>
      </c>
      <c r="AW7" s="42" t="str">
        <f ca="1">IFERROR(__xludf.DUMMYFUNCTION("""COMPUTED_VALUE"""),"https://drive.google.com/drive/folders/19sLgUR48ztTN3jWDEYdWqIOpub5WLVaT?usp=sharing")</f>
        <v>https://drive.google.com/drive/folders/19sLgUR48ztTN3jWDEYdWqIOpub5WLVaT?usp=sharing</v>
      </c>
      <c r="AX7" s="41">
        <f ca="1">IFERROR(__xludf.DUMMYFUNCTION("""COMPUTED_VALUE"""),1)</f>
        <v>1</v>
      </c>
      <c r="AY7" s="41">
        <f ca="1">IFERROR(__xludf.DUMMYFUNCTION("""COMPUTED_VALUE"""),5)</f>
        <v>5</v>
      </c>
      <c r="AZ7" s="41">
        <f ca="1">IFERROR(__xludf.DUMMYFUNCTION("""COMPUTED_VALUE"""),2)</f>
        <v>2</v>
      </c>
      <c r="BA7" s="42" t="str">
        <f ca="1">IFERROR(__xludf.DUMMYFUNCTION("""COMPUTED_VALUE"""),"https://drive.google.com/drive/folders/1lRAq2f2mHqL6RFUQlS92K56WrNvAG1v2?usp=sharing")</f>
        <v>https://drive.google.com/drive/folders/1lRAq2f2mHqL6RFUQlS92K56WrNvAG1v2?usp=sharing</v>
      </c>
      <c r="BB7" s="41">
        <f ca="1">IFERROR(__xludf.DUMMYFUNCTION("""COMPUTED_VALUE"""),1)</f>
        <v>1</v>
      </c>
      <c r="BC7" s="41">
        <f ca="1">IFERROR(__xludf.DUMMYFUNCTION("""COMPUTED_VALUE"""),5)</f>
        <v>5</v>
      </c>
      <c r="BD7" s="41">
        <f ca="1">IFERROR(__xludf.DUMMYFUNCTION("""COMPUTED_VALUE"""),2)</f>
        <v>2</v>
      </c>
      <c r="BE7" s="42" t="str">
        <f ca="1">IFERROR(__xludf.DUMMYFUNCTION("""COMPUTED_VALUE"""),"https://drive.google.com/drive/folders/19m4PDLshA-bb_SASnxNNAc2WmvZ-zMqH?usp=sharing")</f>
        <v>https://drive.google.com/drive/folders/19m4PDLshA-bb_SASnxNNAc2WmvZ-zMqH?usp=sharing</v>
      </c>
      <c r="BF7" s="41">
        <f ca="1">IFERROR(__xludf.DUMMYFUNCTION("""COMPUTED_VALUE"""),2)</f>
        <v>2</v>
      </c>
      <c r="BG7" s="41">
        <f ca="1">IFERROR(__xludf.DUMMYFUNCTION("""COMPUTED_VALUE"""),5)</f>
        <v>5</v>
      </c>
      <c r="BH7" s="41">
        <f ca="1">IFERROR(__xludf.DUMMYFUNCTION("""COMPUTED_VALUE"""),3)</f>
        <v>3</v>
      </c>
      <c r="BI7" s="42" t="str">
        <f ca="1">IFERROR(__xludf.DUMMYFUNCTION("""COMPUTED_VALUE"""),"https://drive.google.com/drive/folders/1h6tBeHwo3KNR79PnhAvjk6cX90FlQTyS?usp=sharing")</f>
        <v>https://drive.google.com/drive/folders/1h6tBeHwo3KNR79PnhAvjk6cX90FlQTyS?usp=sharing</v>
      </c>
      <c r="BJ7" s="41">
        <f ca="1">IFERROR(__xludf.DUMMYFUNCTION("""COMPUTED_VALUE"""),1)</f>
        <v>1</v>
      </c>
      <c r="BK7" s="41">
        <f ca="1">IFERROR(__xludf.DUMMYFUNCTION("""COMPUTED_VALUE"""),5)</f>
        <v>5</v>
      </c>
      <c r="BL7" s="41">
        <f ca="1">IFERROR(__xludf.DUMMYFUNCTION("""COMPUTED_VALUE"""),2)</f>
        <v>2</v>
      </c>
      <c r="BM7" s="42" t="str">
        <f ca="1">IFERROR(__xludf.DUMMYFUNCTION("""COMPUTED_VALUE"""),"https://drive.google.com/drive/folders/1szprtdp1jo0W3s_K-q3HP055aWqPIyez?usp=sharing")</f>
        <v>https://drive.google.com/drive/folders/1szprtdp1jo0W3s_K-q3HP055aWqPIyez?usp=sharing</v>
      </c>
      <c r="BN7" s="41">
        <f ca="1">IFERROR(__xludf.DUMMYFUNCTION("""COMPUTED_VALUE"""),1)</f>
        <v>1</v>
      </c>
      <c r="BO7" s="41">
        <f ca="1">IFERROR(__xludf.DUMMYFUNCTION("""COMPUTED_VALUE"""),5)</f>
        <v>5</v>
      </c>
      <c r="BP7" s="41">
        <f ca="1">IFERROR(__xludf.DUMMYFUNCTION("""COMPUTED_VALUE"""),2)</f>
        <v>2</v>
      </c>
      <c r="BQ7" s="42" t="str">
        <f ca="1">IFERROR(__xludf.DUMMYFUNCTION("""COMPUTED_VALUE"""),"https://drive.google.com/drive/folders/1xFcNr0il4B2SoZKYN48rNbNy-rzxZ01q?usp=sharing")</f>
        <v>https://drive.google.com/drive/folders/1xFcNr0il4B2SoZKYN48rNbNy-rzxZ01q?usp=sharing</v>
      </c>
      <c r="BR7" s="41">
        <f ca="1">IFERROR(__xludf.DUMMYFUNCTION("""COMPUTED_VALUE"""),1)</f>
        <v>1</v>
      </c>
      <c r="BS7" s="41">
        <f ca="1">IFERROR(__xludf.DUMMYFUNCTION("""COMPUTED_VALUE"""),5)</f>
        <v>5</v>
      </c>
      <c r="BT7" s="41">
        <f ca="1">IFERROR(__xludf.DUMMYFUNCTION("""COMPUTED_VALUE"""),2)</f>
        <v>2</v>
      </c>
      <c r="BU7" s="42" t="str">
        <f ca="1">IFERROR(__xludf.DUMMYFUNCTION("""COMPUTED_VALUE"""),"https://drive.google.com/drive/folders/1Hqw9WEJsqb8FoG2fB_dXlWSvoG3zfV0G?usp=sharing")</f>
        <v>https://drive.google.com/drive/folders/1Hqw9WEJsqb8FoG2fB_dXlWSvoG3zfV0G?usp=sharing</v>
      </c>
      <c r="BV7" s="41">
        <f ca="1">IFERROR(__xludf.DUMMYFUNCTION("""COMPUTED_VALUE"""),1)</f>
        <v>1</v>
      </c>
      <c r="BW7" s="41">
        <f ca="1">IFERROR(__xludf.DUMMYFUNCTION("""COMPUTED_VALUE"""),5)</f>
        <v>5</v>
      </c>
      <c r="BX7" s="41">
        <f ca="1">IFERROR(__xludf.DUMMYFUNCTION("""COMPUTED_VALUE"""),2)</f>
        <v>2</v>
      </c>
      <c r="BY7" s="43" t="str">
        <f ca="1">IFERROR(__xludf.DUMMYFUNCTION("""COMPUTED_VALUE"""),"https://drive.google.com/drive/folders/1cxh3h4XNDsvsRf056tDhQKCZayGtCzZz?usp=sharing")</f>
        <v>https://drive.google.com/drive/folders/1cxh3h4XNDsvsRf056tDhQKCZayGtCzZz?usp=sharing</v>
      </c>
      <c r="BZ7" s="41">
        <f ca="1">IFERROR(__xludf.DUMMYFUNCTION("""COMPUTED_VALUE"""),1)</f>
        <v>1</v>
      </c>
      <c r="CA7" s="41">
        <f ca="1">IFERROR(__xludf.DUMMYFUNCTION("""COMPUTED_VALUE"""),5)</f>
        <v>5</v>
      </c>
      <c r="CB7" s="41">
        <f ca="1">IFERROR(__xludf.DUMMYFUNCTION("""COMPUTED_VALUE"""),2)</f>
        <v>2</v>
      </c>
      <c r="CC7" s="42" t="str">
        <f ca="1">IFERROR(__xludf.DUMMYFUNCTION("""COMPUTED_VALUE"""),"https://drive.google.com/drive/folders/1KwEn-okYB520TFj27G1VHbXc3hneTzjI?usp=sharing")</f>
        <v>https://drive.google.com/drive/folders/1KwEn-okYB520TFj27G1VHbXc3hneTzjI?usp=sharing</v>
      </c>
      <c r="CD7" s="41">
        <f ca="1">IFERROR(__xludf.DUMMYFUNCTION("""COMPUTED_VALUE"""),1)</f>
        <v>1</v>
      </c>
      <c r="CE7" s="41">
        <f ca="1">IFERROR(__xludf.DUMMYFUNCTION("""COMPUTED_VALUE"""),5)</f>
        <v>5</v>
      </c>
      <c r="CF7" s="41">
        <f ca="1">IFERROR(__xludf.DUMMYFUNCTION("""COMPUTED_VALUE"""),2)</f>
        <v>2</v>
      </c>
      <c r="CG7" s="42" t="str">
        <f ca="1">IFERROR(__xludf.DUMMYFUNCTION("""COMPUTED_VALUE"""),"https://drive.google.com/drive/folders/17vMn7pyLj7ESwq5JomFjhpP5a49TIUmh?usp=sharing")</f>
        <v>https://drive.google.com/drive/folders/17vMn7pyLj7ESwq5JomFjhpP5a49TIUmh?usp=sharing</v>
      </c>
      <c r="CH7" s="41">
        <f ca="1">IFERROR(__xludf.DUMMYFUNCTION("""COMPUTED_VALUE"""),1)</f>
        <v>1</v>
      </c>
      <c r="CI7" s="41">
        <f ca="1">IFERROR(__xludf.DUMMYFUNCTION("""COMPUTED_VALUE"""),5)</f>
        <v>5</v>
      </c>
      <c r="CJ7" s="41">
        <f ca="1">IFERROR(__xludf.DUMMYFUNCTION("""COMPUTED_VALUE"""),2)</f>
        <v>2</v>
      </c>
      <c r="CK7" s="42" t="str">
        <f ca="1">IFERROR(__xludf.DUMMYFUNCTION("""COMPUTED_VALUE"""),"https://drive.google.com/drive/folders/1o5d1D_ZvAoTLeb5uT5HuSA0x_SDWyn6P?usp=sharing")</f>
        <v>https://drive.google.com/drive/folders/1o5d1D_ZvAoTLeb5uT5HuSA0x_SDWyn6P?usp=sharing</v>
      </c>
      <c r="CL7" s="41">
        <f ca="1">IFERROR(__xludf.DUMMYFUNCTION("""COMPUTED_VALUE"""),1)</f>
        <v>1</v>
      </c>
      <c r="CM7" s="41">
        <f ca="1">IFERROR(__xludf.DUMMYFUNCTION("""COMPUTED_VALUE"""),5)</f>
        <v>5</v>
      </c>
      <c r="CN7" s="41">
        <f ca="1">IFERROR(__xludf.DUMMYFUNCTION("""COMPUTED_VALUE"""),2)</f>
        <v>2</v>
      </c>
      <c r="CO7" s="42" t="str">
        <f ca="1">IFERROR(__xludf.DUMMYFUNCTION("""COMPUTED_VALUE"""),"https://drive.google.com/drive/folders/1MemB7QwOAUJxbKK72b3pzH0qjgVFe1sC?usp=sharing")</f>
        <v>https://drive.google.com/drive/folders/1MemB7QwOAUJxbKK72b3pzH0qjgVFe1sC?usp=sharing</v>
      </c>
      <c r="CP7" s="41">
        <f ca="1">IFERROR(__xludf.DUMMYFUNCTION("""COMPUTED_VALUE"""),1)</f>
        <v>1</v>
      </c>
      <c r="CQ7" s="41">
        <f ca="1">IFERROR(__xludf.DUMMYFUNCTION("""COMPUTED_VALUE"""),5)</f>
        <v>5</v>
      </c>
      <c r="CR7" s="41">
        <f ca="1">IFERROR(__xludf.DUMMYFUNCTION("""COMPUTED_VALUE"""),2)</f>
        <v>2</v>
      </c>
      <c r="CS7" s="42" t="str">
        <f ca="1">IFERROR(__xludf.DUMMYFUNCTION("""COMPUTED_VALUE"""),"https://drive.google.com/drive/folders/1JvbCQDwgEo8tVv-Iap-bP0-y_PHlQf8U?usp=sharing")</f>
        <v>https://drive.google.com/drive/folders/1JvbCQDwgEo8tVv-Iap-bP0-y_PHlQf8U?usp=sharing</v>
      </c>
      <c r="CT7" s="41">
        <f ca="1">IFERROR(__xludf.DUMMYFUNCTION("""COMPUTED_VALUE"""),2)</f>
        <v>2</v>
      </c>
      <c r="CU7" s="41">
        <f ca="1">IFERROR(__xludf.DUMMYFUNCTION("""COMPUTED_VALUE"""),5)</f>
        <v>5</v>
      </c>
      <c r="CV7" s="41">
        <f ca="1">IFERROR(__xludf.DUMMYFUNCTION("""COMPUTED_VALUE"""),3)</f>
        <v>3</v>
      </c>
      <c r="CW7" s="42" t="str">
        <f ca="1">IFERROR(__xludf.DUMMYFUNCTION("""COMPUTED_VALUE"""),"https://drive.google.com/drive/folders/1L95dfeo4-Ct0U8J4hPCqrMzJhpeV2cey?usp=sharing")</f>
        <v>https://drive.google.com/drive/folders/1L95dfeo4-Ct0U8J4hPCqrMzJhpeV2cey?usp=sharing</v>
      </c>
      <c r="CX7" s="41">
        <f ca="1">IFERROR(__xludf.DUMMYFUNCTION("""COMPUTED_VALUE"""),2)</f>
        <v>2</v>
      </c>
      <c r="CY7" s="41">
        <f ca="1">IFERROR(__xludf.DUMMYFUNCTION("""COMPUTED_VALUE"""),5)</f>
        <v>5</v>
      </c>
      <c r="CZ7" s="41">
        <f ca="1">IFERROR(__xludf.DUMMYFUNCTION("""COMPUTED_VALUE"""),3)</f>
        <v>3</v>
      </c>
      <c r="DA7" s="42" t="str">
        <f ca="1">IFERROR(__xludf.DUMMYFUNCTION("""COMPUTED_VALUE"""),"https://drive.google.com/drive/folders/1QM9AUz_a1wwLzpNmd_sB6lB0WIZsMGHW?usp=sharing")</f>
        <v>https://drive.google.com/drive/folders/1QM9AUz_a1wwLzpNmd_sB6lB0WIZsMGHW?usp=sharing</v>
      </c>
      <c r="DB7" s="41">
        <f ca="1">IFERROR(__xludf.DUMMYFUNCTION("""COMPUTED_VALUE"""),2)</f>
        <v>2</v>
      </c>
      <c r="DC7" s="41">
        <f ca="1">IFERROR(__xludf.DUMMYFUNCTION("""COMPUTED_VALUE"""),5)</f>
        <v>5</v>
      </c>
      <c r="DD7" s="41">
        <f ca="1">IFERROR(__xludf.DUMMYFUNCTION("""COMPUTED_VALUE"""),3)</f>
        <v>3</v>
      </c>
      <c r="DE7" s="42" t="str">
        <f ca="1">IFERROR(__xludf.DUMMYFUNCTION("""COMPUTED_VALUE"""),"https://drive.google.com/drive/folders/1VxDyPBDuD2I9ChXkfZc_O2QZZu16IZJk?usp=sharing")</f>
        <v>https://drive.google.com/drive/folders/1VxDyPBDuD2I9ChXkfZc_O2QZZu16IZJk?usp=sharing</v>
      </c>
      <c r="DF7" s="41">
        <f ca="1">IFERROR(__xludf.DUMMYFUNCTION("""COMPUTED_VALUE"""),2)</f>
        <v>2</v>
      </c>
      <c r="DG7" s="41">
        <f ca="1">IFERROR(__xludf.DUMMYFUNCTION("""COMPUTED_VALUE"""),5)</f>
        <v>5</v>
      </c>
      <c r="DH7" s="41">
        <f ca="1">IFERROR(__xludf.DUMMYFUNCTION("""COMPUTED_VALUE"""),3)</f>
        <v>3</v>
      </c>
      <c r="DI7" s="42" t="str">
        <f ca="1">IFERROR(__xludf.DUMMYFUNCTION("""COMPUTED_VALUE"""),"https://drive.google.com/drive/folders/1QBn-C2CTKKVQFOSVKlPs2VHtB-DJVS6Y?usp=sharing")</f>
        <v>https://drive.google.com/drive/folders/1QBn-C2CTKKVQFOSVKlPs2VHtB-DJVS6Y?usp=sharing</v>
      </c>
      <c r="DJ7" s="41">
        <f ca="1">IFERROR(__xludf.DUMMYFUNCTION("""COMPUTED_VALUE"""),1)</f>
        <v>1</v>
      </c>
      <c r="DK7" s="41">
        <f ca="1">IFERROR(__xludf.DUMMYFUNCTION("""COMPUTED_VALUE"""),5)</f>
        <v>5</v>
      </c>
      <c r="DL7" s="41">
        <f ca="1">IFERROR(__xludf.DUMMYFUNCTION("""COMPUTED_VALUE"""),2)</f>
        <v>2</v>
      </c>
      <c r="DM7" s="42" t="str">
        <f ca="1">IFERROR(__xludf.DUMMYFUNCTION("""COMPUTED_VALUE"""),"https://drive.google.com/drive/folders/17IA8_SaFduOR3O9WClcZHwai3AOm26Vn?usp=sharing")</f>
        <v>https://drive.google.com/drive/folders/17IA8_SaFduOR3O9WClcZHwai3AOm26Vn?usp=sharing</v>
      </c>
      <c r="DN7" s="41" t="str">
        <f ca="1">IFERROR(__xludf.DUMMYFUNCTION("""COMPUTED_VALUE"""),"LEBIH DI TELITI LAGI DALAM PENGISIAN INSTRUMEN DAN DOKUMENTASI AGAR DISESUAIKAN")</f>
        <v>LEBIH DI TELITI LAGI DALAM PENGISIAN INSTRUMEN DAN DOKUMENTASI AGAR DISESUAIKAN</v>
      </c>
      <c r="DO7" s="44" t="e">
        <f ca="1"/>
        <v>#NAME?</v>
      </c>
      <c r="DP7" s="46">
        <f ca="1"/>
        <v>1.1923076923076923</v>
      </c>
      <c r="DQ7" s="46">
        <f ca="1"/>
        <v>5</v>
      </c>
      <c r="DR7" s="46">
        <f ca="1"/>
        <v>2.1923076923076925</v>
      </c>
      <c r="DS7" s="46">
        <f ca="1"/>
        <v>1.0000000000000002</v>
      </c>
      <c r="DT7" s="47">
        <f ca="1"/>
        <v>1</v>
      </c>
      <c r="DU7" s="48">
        <f ca="1"/>
        <v>5</v>
      </c>
      <c r="DV7" s="48">
        <f ca="1"/>
        <v>2</v>
      </c>
      <c r="DW7" s="48">
        <f ca="1"/>
        <v>1</v>
      </c>
      <c r="DX7" s="50">
        <f ca="1"/>
        <v>1</v>
      </c>
      <c r="DY7" s="48">
        <f ca="1"/>
        <v>5</v>
      </c>
      <c r="DZ7" s="48">
        <f ca="1"/>
        <v>2</v>
      </c>
      <c r="EA7" s="48">
        <f ca="1"/>
        <v>1</v>
      </c>
      <c r="EB7" s="51">
        <f ca="1"/>
        <v>1.3333333333333333</v>
      </c>
      <c r="EC7" s="48">
        <f ca="1"/>
        <v>5</v>
      </c>
      <c r="ED7" s="48">
        <f ca="1"/>
        <v>2.3333333333333335</v>
      </c>
      <c r="EE7" s="48">
        <f ca="1"/>
        <v>1.0000000000000002</v>
      </c>
      <c r="EF7" s="52">
        <f ca="1"/>
        <v>1</v>
      </c>
      <c r="EG7" s="48">
        <f ca="1"/>
        <v>5</v>
      </c>
      <c r="EH7" s="48">
        <f ca="1"/>
        <v>2</v>
      </c>
      <c r="EI7" s="48">
        <f ca="1"/>
        <v>1</v>
      </c>
      <c r="EJ7" s="53">
        <f ca="1"/>
        <v>1</v>
      </c>
      <c r="EK7" s="48">
        <f ca="1"/>
        <v>5</v>
      </c>
      <c r="EL7" s="48">
        <f ca="1"/>
        <v>2</v>
      </c>
      <c r="EM7" s="48">
        <f ca="1"/>
        <v>1</v>
      </c>
      <c r="EN7" s="54">
        <f ca="1"/>
        <v>1.8</v>
      </c>
      <c r="EO7" s="48">
        <f ca="1"/>
        <v>5</v>
      </c>
      <c r="EP7" s="48">
        <f ca="1"/>
        <v>2.8</v>
      </c>
      <c r="EQ7" s="48">
        <f ca="1"/>
        <v>0.99999999999999978</v>
      </c>
    </row>
    <row r="8" spans="1:155" ht="15.75" customHeight="1" x14ac:dyDescent="0.3">
      <c r="A8" s="40">
        <f ca="1">IFERROR(__xludf.DUMMYFUNCTION("""COMPUTED_VALUE"""),46110.4714661226)</f>
        <v>46110.471466122603</v>
      </c>
      <c r="B8" s="41" t="str">
        <f ca="1">IFERROR(__xludf.DUMMYFUNCTION("""COMPUTED_VALUE"""),"linda.purba24@guru.sd.belajar.id")</f>
        <v>linda.purba24@guru.sd.belajar.id</v>
      </c>
      <c r="C8" s="41">
        <f ca="1">IFERROR(__xludf.DUMMYFUNCTION("""COMPUTED_VALUE"""),10213244)</f>
        <v>10213244</v>
      </c>
      <c r="D8" s="41" t="str">
        <f ca="1">IFERROR(__xludf.DUMMYFUNCTION("""COMPUTED_VALUE"""),"Bangun Purba")</f>
        <v>Bangun Purba</v>
      </c>
      <c r="E8" s="41" t="str">
        <f ca="1">IFERROR(__xludf.DUMMYFUNCTION("""COMPUTED_VALUE"""),"SD")</f>
        <v>SD</v>
      </c>
      <c r="F8" s="41" t="str">
        <f ca="1">IFERROR(__xludf.DUMMYFUNCTION("""COMPUTED_VALUE"""),"UPT SPF SD NEGERI 101997 BANDAR GUGUNG")</f>
        <v>UPT SPF SD NEGERI 101997 BANDAR GUGUNG</v>
      </c>
      <c r="G8" s="41" t="str">
        <f ca="1">IFERROR(__xludf.DUMMYFUNCTION("""COMPUTED_VALUE"""),"Linda Purba, S. Pd")</f>
        <v>Linda Purba, S. Pd</v>
      </c>
      <c r="H8" s="41" t="str">
        <f ca="1">IFERROR(__xludf.DUMMYFUNCTION("""COMPUTED_VALUE"""),"081397495277")</f>
        <v>081397495277</v>
      </c>
      <c r="I8" s="41" t="str">
        <f ca="1">IFERROR(__xludf.DUMMYFUNCTION("""COMPUTED_VALUE"""),"TETY ERDIANTY, S.Pd")</f>
        <v>TETY ERDIANTY, S.Pd</v>
      </c>
      <c r="J8" s="41" t="str">
        <f ca="1">IFERROR(__xludf.DUMMYFUNCTION("""COMPUTED_VALUE"""),"081376900597")</f>
        <v>081376900597</v>
      </c>
      <c r="K8" s="41" t="str">
        <f ca="1">IFERROR(__xludf.DUMMYFUNCTION("""COMPUTED_VALUE"""),"TW1")</f>
        <v>TW1</v>
      </c>
      <c r="L8" s="41" t="str">
        <f ca="1">IFERROR(__xludf.DUMMYFUNCTION("""COMPUTED_VALUE"""),"Maret")</f>
        <v>Maret</v>
      </c>
      <c r="M8" s="41" t="str">
        <f ca="1">IFERROR(__xludf.DUMMYFUNCTION("""COMPUTED_VALUE"""),"IV")</f>
        <v>IV</v>
      </c>
      <c r="N8" s="41">
        <f ca="1">IFERROR(__xludf.DUMMYFUNCTION("""COMPUTED_VALUE"""),1)</f>
        <v>1</v>
      </c>
      <c r="O8" s="41">
        <f ca="1">IFERROR(__xludf.DUMMYFUNCTION("""COMPUTED_VALUE"""),5)</f>
        <v>5</v>
      </c>
      <c r="P8" s="41">
        <f ca="1">IFERROR(__xludf.DUMMYFUNCTION("""COMPUTED_VALUE"""),2)</f>
        <v>2</v>
      </c>
      <c r="Q8" s="42" t="str">
        <f ca="1">IFERROR(__xludf.DUMMYFUNCTION("""COMPUTED_VALUE"""),"https://drive.google.com/drive/folders/1KNBqctxwaw7UmF5AWQXomSnlNmWd-N-_?usp=sharing")</f>
        <v>https://drive.google.com/drive/folders/1KNBqctxwaw7UmF5AWQXomSnlNmWd-N-_?usp=sharing</v>
      </c>
      <c r="R8" s="41">
        <f ca="1">IFERROR(__xludf.DUMMYFUNCTION("""COMPUTED_VALUE"""),1)</f>
        <v>1</v>
      </c>
      <c r="S8" s="41">
        <f ca="1">IFERROR(__xludf.DUMMYFUNCTION("""COMPUTED_VALUE"""),5)</f>
        <v>5</v>
      </c>
      <c r="T8" s="41">
        <f ca="1">IFERROR(__xludf.DUMMYFUNCTION("""COMPUTED_VALUE"""),2)</f>
        <v>2</v>
      </c>
      <c r="U8" s="42" t="str">
        <f ca="1">IFERROR(__xludf.DUMMYFUNCTION("""COMPUTED_VALUE"""),"https://drive.google.com/drive/folders/1ZKrq8wV8SO9K_Za7TIIGBYK1yOO5Ihbg?usp=sharing")</f>
        <v>https://drive.google.com/drive/folders/1ZKrq8wV8SO9K_Za7TIIGBYK1yOO5Ihbg?usp=sharing</v>
      </c>
      <c r="V8" s="41">
        <f ca="1">IFERROR(__xludf.DUMMYFUNCTION("""COMPUTED_VALUE"""),1)</f>
        <v>1</v>
      </c>
      <c r="W8" s="41">
        <f ca="1">IFERROR(__xludf.DUMMYFUNCTION("""COMPUTED_VALUE"""),5)</f>
        <v>5</v>
      </c>
      <c r="X8" s="41">
        <f ca="1">IFERROR(__xludf.DUMMYFUNCTION("""COMPUTED_VALUE"""),2)</f>
        <v>2</v>
      </c>
      <c r="Y8" s="42" t="str">
        <f ca="1">IFERROR(__xludf.DUMMYFUNCTION("""COMPUTED_VALUE"""),"https://drive.google.com/drive/folders/1oySzy-Kxec0j-LNwygv0qfWC9ktoujnx?usp=sharing")</f>
        <v>https://drive.google.com/drive/folders/1oySzy-Kxec0j-LNwygv0qfWC9ktoujnx?usp=sharing</v>
      </c>
      <c r="Z8" s="41">
        <f ca="1">IFERROR(__xludf.DUMMYFUNCTION("""COMPUTED_VALUE"""),1)</f>
        <v>1</v>
      </c>
      <c r="AA8" s="41">
        <f ca="1">IFERROR(__xludf.DUMMYFUNCTION("""COMPUTED_VALUE"""),5)</f>
        <v>5</v>
      </c>
      <c r="AB8" s="41">
        <f ca="1">IFERROR(__xludf.DUMMYFUNCTION("""COMPUTED_VALUE"""),2)</f>
        <v>2</v>
      </c>
      <c r="AC8" s="42" t="str">
        <f ca="1">IFERROR(__xludf.DUMMYFUNCTION("""COMPUTED_VALUE"""),"https://drive.google.com/drive/folders/1V5fSPzCIphp-muZUgmygz9vfu6uKHroq?usp=sharing")</f>
        <v>https://drive.google.com/drive/folders/1V5fSPzCIphp-muZUgmygz9vfu6uKHroq?usp=sharing</v>
      </c>
      <c r="AD8" s="41">
        <f ca="1">IFERROR(__xludf.DUMMYFUNCTION("""COMPUTED_VALUE"""),1)</f>
        <v>1</v>
      </c>
      <c r="AE8" s="41">
        <f ca="1">IFERROR(__xludf.DUMMYFUNCTION("""COMPUTED_VALUE"""),5)</f>
        <v>5</v>
      </c>
      <c r="AF8" s="41">
        <f ca="1">IFERROR(__xludf.DUMMYFUNCTION("""COMPUTED_VALUE"""),2)</f>
        <v>2</v>
      </c>
      <c r="AG8" s="42" t="str">
        <f ca="1">IFERROR(__xludf.DUMMYFUNCTION("""COMPUTED_VALUE"""),"https://drive.google.com/drive/folders/1bldTX6KNhHFukSRDLsZwM5XDyWCY-W2s?usp=sharing")</f>
        <v>https://drive.google.com/drive/folders/1bldTX6KNhHFukSRDLsZwM5XDyWCY-W2s?usp=sharing</v>
      </c>
      <c r="AH8" s="41">
        <f ca="1">IFERROR(__xludf.DUMMYFUNCTION("""COMPUTED_VALUE"""),1)</f>
        <v>1</v>
      </c>
      <c r="AI8" s="41">
        <f ca="1">IFERROR(__xludf.DUMMYFUNCTION("""COMPUTED_VALUE"""),5)</f>
        <v>5</v>
      </c>
      <c r="AJ8" s="41">
        <f ca="1">IFERROR(__xludf.DUMMYFUNCTION("""COMPUTED_VALUE"""),2)</f>
        <v>2</v>
      </c>
      <c r="AK8" s="42" t="str">
        <f ca="1">IFERROR(__xludf.DUMMYFUNCTION("""COMPUTED_VALUE"""),"https://drive.google.com/drive/folders/1pEh7jnI1n7B7I8iAFDBbS9pb-q6xlcPb?usp=sharing")</f>
        <v>https://drive.google.com/drive/folders/1pEh7jnI1n7B7I8iAFDBbS9pb-q6xlcPb?usp=sharing</v>
      </c>
      <c r="AL8" s="41">
        <f ca="1">IFERROR(__xludf.DUMMYFUNCTION("""COMPUTED_VALUE"""),1)</f>
        <v>1</v>
      </c>
      <c r="AM8" s="41">
        <f ca="1">IFERROR(__xludf.DUMMYFUNCTION("""COMPUTED_VALUE"""),5)</f>
        <v>5</v>
      </c>
      <c r="AN8" s="41">
        <f ca="1">IFERROR(__xludf.DUMMYFUNCTION("""COMPUTED_VALUE"""),2)</f>
        <v>2</v>
      </c>
      <c r="AO8" s="42" t="str">
        <f ca="1">IFERROR(__xludf.DUMMYFUNCTION("""COMPUTED_VALUE"""),"https://drive.google.com/drive/folders/1orqivd-rVT6dqql0xkZ3ZwospBHsjsLB?usp=sharing")</f>
        <v>https://drive.google.com/drive/folders/1orqivd-rVT6dqql0xkZ3ZwospBHsjsLB?usp=sharing</v>
      </c>
      <c r="AP8" s="41">
        <f ca="1">IFERROR(__xludf.DUMMYFUNCTION("""COMPUTED_VALUE"""),1)</f>
        <v>1</v>
      </c>
      <c r="AQ8" s="41">
        <f ca="1">IFERROR(__xludf.DUMMYFUNCTION("""COMPUTED_VALUE"""),5)</f>
        <v>5</v>
      </c>
      <c r="AR8" s="41">
        <f ca="1">IFERROR(__xludf.DUMMYFUNCTION("""COMPUTED_VALUE"""),2)</f>
        <v>2</v>
      </c>
      <c r="AS8" s="42" t="str">
        <f ca="1">IFERROR(__xludf.DUMMYFUNCTION("""COMPUTED_VALUE"""),"https://drive.google.com/drive/folders/1pIdJ0fqmEowBKav9eh-YApSopV94Vcu_?usp=sharing")</f>
        <v>https://drive.google.com/drive/folders/1pIdJ0fqmEowBKav9eh-YApSopV94Vcu_?usp=sharing</v>
      </c>
      <c r="AT8" s="41">
        <f ca="1">IFERROR(__xludf.DUMMYFUNCTION("""COMPUTED_VALUE"""),1)</f>
        <v>1</v>
      </c>
      <c r="AU8" s="41">
        <f ca="1">IFERROR(__xludf.DUMMYFUNCTION("""COMPUTED_VALUE"""),5)</f>
        <v>5</v>
      </c>
      <c r="AV8" s="41">
        <f ca="1">IFERROR(__xludf.DUMMYFUNCTION("""COMPUTED_VALUE"""),2)</f>
        <v>2</v>
      </c>
      <c r="AW8" s="41" t="str">
        <f ca="1">IFERROR(__xludf.DUMMYFUNCTION("""COMPUTED_VALUE"""),"-")</f>
        <v>-</v>
      </c>
      <c r="AX8" s="41">
        <f ca="1">IFERROR(__xludf.DUMMYFUNCTION("""COMPUTED_VALUE"""),1)</f>
        <v>1</v>
      </c>
      <c r="AY8" s="41">
        <f ca="1">IFERROR(__xludf.DUMMYFUNCTION("""COMPUTED_VALUE"""),5)</f>
        <v>5</v>
      </c>
      <c r="AZ8" s="41">
        <f ca="1">IFERROR(__xludf.DUMMYFUNCTION("""COMPUTED_VALUE"""),2)</f>
        <v>2</v>
      </c>
      <c r="BA8" s="41" t="str">
        <f ca="1">IFERROR(__xludf.DUMMYFUNCTION("""COMPUTED_VALUE"""),"-")</f>
        <v>-</v>
      </c>
      <c r="BB8" s="41">
        <f ca="1">IFERROR(__xludf.DUMMYFUNCTION("""COMPUTED_VALUE"""),1)</f>
        <v>1</v>
      </c>
      <c r="BC8" s="41">
        <f ca="1">IFERROR(__xludf.DUMMYFUNCTION("""COMPUTED_VALUE"""),5)</f>
        <v>5</v>
      </c>
      <c r="BD8" s="41">
        <f ca="1">IFERROR(__xludf.DUMMYFUNCTION("""COMPUTED_VALUE"""),2)</f>
        <v>2</v>
      </c>
      <c r="BE8" s="42" t="str">
        <f ca="1">IFERROR(__xludf.DUMMYFUNCTION("""COMPUTED_VALUE"""),"https://drive.google.com/drive/folders/1ar5K-RVuLxpmfe9C9fFHngmZG-L7U1wG?usp=sharing")</f>
        <v>https://drive.google.com/drive/folders/1ar5K-RVuLxpmfe9C9fFHngmZG-L7U1wG?usp=sharing</v>
      </c>
      <c r="BF8" s="41">
        <f ca="1">IFERROR(__xludf.DUMMYFUNCTION("""COMPUTED_VALUE"""),2)</f>
        <v>2</v>
      </c>
      <c r="BG8" s="41">
        <f ca="1">IFERROR(__xludf.DUMMYFUNCTION("""COMPUTED_VALUE"""),5)</f>
        <v>5</v>
      </c>
      <c r="BH8" s="41">
        <f ca="1">IFERROR(__xludf.DUMMYFUNCTION("""COMPUTED_VALUE"""),3)</f>
        <v>3</v>
      </c>
      <c r="BI8" s="42" t="str">
        <f ca="1">IFERROR(__xludf.DUMMYFUNCTION("""COMPUTED_VALUE"""),"https://drive.google.com/drive/folders/1YHpUtMKGwvKp0_54IMgaaEQAnsQgmocM?usp=sharing")</f>
        <v>https://drive.google.com/drive/folders/1YHpUtMKGwvKp0_54IMgaaEQAnsQgmocM?usp=sharing</v>
      </c>
      <c r="BJ8" s="41">
        <f ca="1">IFERROR(__xludf.DUMMYFUNCTION("""COMPUTED_VALUE"""),1)</f>
        <v>1</v>
      </c>
      <c r="BK8" s="41">
        <f ca="1">IFERROR(__xludf.DUMMYFUNCTION("""COMPUTED_VALUE"""),5)</f>
        <v>5</v>
      </c>
      <c r="BL8" s="41">
        <f ca="1">IFERROR(__xludf.DUMMYFUNCTION("""COMPUTED_VALUE"""),2)</f>
        <v>2</v>
      </c>
      <c r="BM8" s="42" t="str">
        <f ca="1">IFERROR(__xludf.DUMMYFUNCTION("""COMPUTED_VALUE"""),"https://drive.google.com/drive/folders/1Voz1ET8amuSNsjI-u8zarBNK5j4QjXun?usp=sharing")</f>
        <v>https://drive.google.com/drive/folders/1Voz1ET8amuSNsjI-u8zarBNK5j4QjXun?usp=sharing</v>
      </c>
      <c r="BN8" s="41">
        <f ca="1">IFERROR(__xludf.DUMMYFUNCTION("""COMPUTED_VALUE"""),1)</f>
        <v>1</v>
      </c>
      <c r="BO8" s="41">
        <f ca="1">IFERROR(__xludf.DUMMYFUNCTION("""COMPUTED_VALUE"""),5)</f>
        <v>5</v>
      </c>
      <c r="BP8" s="41">
        <f ca="1">IFERROR(__xludf.DUMMYFUNCTION("""COMPUTED_VALUE"""),2)</f>
        <v>2</v>
      </c>
      <c r="BQ8" s="42" t="str">
        <f ca="1">IFERROR(__xludf.DUMMYFUNCTION("""COMPUTED_VALUE"""),"https://drive.google.com/drive/folders/1UB5XXu5vDa8bczVBaaKOQhRglrf70cgm?usp=sharing")</f>
        <v>https://drive.google.com/drive/folders/1UB5XXu5vDa8bczVBaaKOQhRglrf70cgm?usp=sharing</v>
      </c>
      <c r="BR8" s="41">
        <f ca="1">IFERROR(__xludf.DUMMYFUNCTION("""COMPUTED_VALUE"""),1)</f>
        <v>1</v>
      </c>
      <c r="BS8" s="41">
        <f ca="1">IFERROR(__xludf.DUMMYFUNCTION("""COMPUTED_VALUE"""),5)</f>
        <v>5</v>
      </c>
      <c r="BT8" s="41">
        <f ca="1">IFERROR(__xludf.DUMMYFUNCTION("""COMPUTED_VALUE"""),2)</f>
        <v>2</v>
      </c>
      <c r="BU8" s="42" t="str">
        <f ca="1">IFERROR(__xludf.DUMMYFUNCTION("""COMPUTED_VALUE"""),"https://drive.google.com/drive/folders/1UJneOeZdD1MKjf3P2oee-7-rM9a_yPMG?usp=sharing")</f>
        <v>https://drive.google.com/drive/folders/1UJneOeZdD1MKjf3P2oee-7-rM9a_yPMG?usp=sharing</v>
      </c>
      <c r="BV8" s="41">
        <f ca="1">IFERROR(__xludf.DUMMYFUNCTION("""COMPUTED_VALUE"""),1)</f>
        <v>1</v>
      </c>
      <c r="BW8" s="41">
        <f ca="1">IFERROR(__xludf.DUMMYFUNCTION("""COMPUTED_VALUE"""),5)</f>
        <v>5</v>
      </c>
      <c r="BX8" s="41">
        <f ca="1">IFERROR(__xludf.DUMMYFUNCTION("""COMPUTED_VALUE"""),2)</f>
        <v>2</v>
      </c>
      <c r="BY8" s="43" t="str">
        <f ca="1">IFERROR(__xludf.DUMMYFUNCTION("""COMPUTED_VALUE"""),"https://drive.google.com/drive/folders/1-gF18jq1PC_DVR0rJ8B4MhKeEkJHATV1?usp=sharing")</f>
        <v>https://drive.google.com/drive/folders/1-gF18jq1PC_DVR0rJ8B4MhKeEkJHATV1?usp=sharing</v>
      </c>
      <c r="BZ8" s="41">
        <f ca="1">IFERROR(__xludf.DUMMYFUNCTION("""COMPUTED_VALUE"""),1)</f>
        <v>1</v>
      </c>
      <c r="CA8" s="41">
        <f ca="1">IFERROR(__xludf.DUMMYFUNCTION("""COMPUTED_VALUE"""),5)</f>
        <v>5</v>
      </c>
      <c r="CB8" s="41">
        <f ca="1">IFERROR(__xludf.DUMMYFUNCTION("""COMPUTED_VALUE"""),2)</f>
        <v>2</v>
      </c>
      <c r="CC8" s="42" t="str">
        <f ca="1">IFERROR(__xludf.DUMMYFUNCTION("""COMPUTED_VALUE"""),"https://drive.google.com/drive/folders/1Yo63umgdVW02dFNt8kFwCkDkm16Tjvn-?usp=sharing")</f>
        <v>https://drive.google.com/drive/folders/1Yo63umgdVW02dFNt8kFwCkDkm16Tjvn-?usp=sharing</v>
      </c>
      <c r="CD8" s="41">
        <f ca="1">IFERROR(__xludf.DUMMYFUNCTION("""COMPUTED_VALUE"""),1)</f>
        <v>1</v>
      </c>
      <c r="CE8" s="41">
        <f ca="1">IFERROR(__xludf.DUMMYFUNCTION("""COMPUTED_VALUE"""),5)</f>
        <v>5</v>
      </c>
      <c r="CF8" s="41">
        <f ca="1">IFERROR(__xludf.DUMMYFUNCTION("""COMPUTED_VALUE"""),2)</f>
        <v>2</v>
      </c>
      <c r="CG8" s="41" t="str">
        <f ca="1">IFERROR(__xludf.DUMMYFUNCTION("""COMPUTED_VALUE"""),"-")</f>
        <v>-</v>
      </c>
      <c r="CH8" s="41">
        <f ca="1">IFERROR(__xludf.DUMMYFUNCTION("""COMPUTED_VALUE"""),1)</f>
        <v>1</v>
      </c>
      <c r="CI8" s="41">
        <f ca="1">IFERROR(__xludf.DUMMYFUNCTION("""COMPUTED_VALUE"""),5)</f>
        <v>5</v>
      </c>
      <c r="CJ8" s="41">
        <f ca="1">IFERROR(__xludf.DUMMYFUNCTION("""COMPUTED_VALUE"""),2)</f>
        <v>2</v>
      </c>
      <c r="CK8" s="41" t="str">
        <f ca="1">IFERROR(__xludf.DUMMYFUNCTION("""COMPUTED_VALUE"""),"-")</f>
        <v>-</v>
      </c>
      <c r="CL8" s="41">
        <f ca="1">IFERROR(__xludf.DUMMYFUNCTION("""COMPUTED_VALUE"""),1)</f>
        <v>1</v>
      </c>
      <c r="CM8" s="41">
        <f ca="1">IFERROR(__xludf.DUMMYFUNCTION("""COMPUTED_VALUE"""),5)</f>
        <v>5</v>
      </c>
      <c r="CN8" s="41">
        <f ca="1">IFERROR(__xludf.DUMMYFUNCTION("""COMPUTED_VALUE"""),2)</f>
        <v>2</v>
      </c>
      <c r="CO8" s="41" t="str">
        <f ca="1">IFERROR(__xludf.DUMMYFUNCTION("""COMPUTED_VALUE"""),"-")</f>
        <v>-</v>
      </c>
      <c r="CP8" s="41">
        <f ca="1">IFERROR(__xludf.DUMMYFUNCTION("""COMPUTED_VALUE"""),1)</f>
        <v>1</v>
      </c>
      <c r="CQ8" s="41">
        <f ca="1">IFERROR(__xludf.DUMMYFUNCTION("""COMPUTED_VALUE"""),5)</f>
        <v>5</v>
      </c>
      <c r="CR8" s="41">
        <f ca="1">IFERROR(__xludf.DUMMYFUNCTION("""COMPUTED_VALUE"""),2)</f>
        <v>2</v>
      </c>
      <c r="CS8" s="41" t="str">
        <f ca="1">IFERROR(__xludf.DUMMYFUNCTION("""COMPUTED_VALUE"""),"-")</f>
        <v>-</v>
      </c>
      <c r="CT8" s="41">
        <f ca="1">IFERROR(__xludf.DUMMYFUNCTION("""COMPUTED_VALUE"""),1)</f>
        <v>1</v>
      </c>
      <c r="CU8" s="41">
        <f ca="1">IFERROR(__xludf.DUMMYFUNCTION("""COMPUTED_VALUE"""),5)</f>
        <v>5</v>
      </c>
      <c r="CV8" s="41">
        <f ca="1">IFERROR(__xludf.DUMMYFUNCTION("""COMPUTED_VALUE"""),2)</f>
        <v>2</v>
      </c>
      <c r="CW8" s="42" t="str">
        <f ca="1">IFERROR(__xludf.DUMMYFUNCTION("""COMPUTED_VALUE"""),"https://drive.google.com/drive/folders/13cpF5rfWk-aaUvDR0b_PY5b2ahB9d6CY?usp=sharing")</f>
        <v>https://drive.google.com/drive/folders/13cpF5rfWk-aaUvDR0b_PY5b2ahB9d6CY?usp=sharing</v>
      </c>
      <c r="CX8" s="41">
        <f ca="1">IFERROR(__xludf.DUMMYFUNCTION("""COMPUTED_VALUE"""),2)</f>
        <v>2</v>
      </c>
      <c r="CY8" s="41">
        <f ca="1">IFERROR(__xludf.DUMMYFUNCTION("""COMPUTED_VALUE"""),5)</f>
        <v>5</v>
      </c>
      <c r="CZ8" s="41">
        <f ca="1">IFERROR(__xludf.DUMMYFUNCTION("""COMPUTED_VALUE"""),3)</f>
        <v>3</v>
      </c>
      <c r="DA8" s="42" t="str">
        <f ca="1">IFERROR(__xludf.DUMMYFUNCTION("""COMPUTED_VALUE"""),"https://drive.google.com/drive/folders/1Le16wiSHdemEi82DTGBe-PwtAXaEtDU6?usp=sharing")</f>
        <v>https://drive.google.com/drive/folders/1Le16wiSHdemEi82DTGBe-PwtAXaEtDU6?usp=sharing</v>
      </c>
      <c r="DB8" s="41">
        <f ca="1">IFERROR(__xludf.DUMMYFUNCTION("""COMPUTED_VALUE"""),1)</f>
        <v>1</v>
      </c>
      <c r="DC8" s="41">
        <f ca="1">IFERROR(__xludf.DUMMYFUNCTION("""COMPUTED_VALUE"""),5)</f>
        <v>5</v>
      </c>
      <c r="DD8" s="41">
        <f ca="1">IFERROR(__xludf.DUMMYFUNCTION("""COMPUTED_VALUE"""),2)</f>
        <v>2</v>
      </c>
      <c r="DE8" s="42" t="str">
        <f ca="1">IFERROR(__xludf.DUMMYFUNCTION("""COMPUTED_VALUE"""),"https://drive.google.com/drive/folders/178LrSGVodNWwev6SIUnVRDhcxOHJX5w8?usp=sharing")</f>
        <v>https://drive.google.com/drive/folders/178LrSGVodNWwev6SIUnVRDhcxOHJX5w8?usp=sharing</v>
      </c>
      <c r="DF8" s="41">
        <f ca="1">IFERROR(__xludf.DUMMYFUNCTION("""COMPUTED_VALUE"""),2)</f>
        <v>2</v>
      </c>
      <c r="DG8" s="41">
        <f ca="1">IFERROR(__xludf.DUMMYFUNCTION("""COMPUTED_VALUE"""),5)</f>
        <v>5</v>
      </c>
      <c r="DH8" s="41">
        <f ca="1">IFERROR(__xludf.DUMMYFUNCTION("""COMPUTED_VALUE"""),3)</f>
        <v>3</v>
      </c>
      <c r="DI8" s="42" t="str">
        <f ca="1">IFERROR(__xludf.DUMMYFUNCTION("""COMPUTED_VALUE"""),"https://drive.google.com/drive/folders/1qQZGM1yEaMPmVbWAJNHuEcRPo3ARJdBy?usp=sharing")</f>
        <v>https://drive.google.com/drive/folders/1qQZGM1yEaMPmVbWAJNHuEcRPo3ARJdBy?usp=sharing</v>
      </c>
      <c r="DJ8" s="41">
        <f ca="1">IFERROR(__xludf.DUMMYFUNCTION("""COMPUTED_VALUE"""),2)</f>
        <v>2</v>
      </c>
      <c r="DK8" s="41">
        <f ca="1">IFERROR(__xludf.DUMMYFUNCTION("""COMPUTED_VALUE"""),5)</f>
        <v>5</v>
      </c>
      <c r="DL8" s="41">
        <f ca="1">IFERROR(__xludf.DUMMYFUNCTION("""COMPUTED_VALUE"""),3)</f>
        <v>3</v>
      </c>
      <c r="DM8" s="42" t="str">
        <f ca="1">IFERROR(__xludf.DUMMYFUNCTION("""COMPUTED_VALUE"""),"https://drive.google.com/drive/folders/1LRRV8cOWgA9-1qXNVGwFU53ICMLgu_MF?usp=sharing")</f>
        <v>https://drive.google.com/drive/folders/1LRRV8cOWgA9-1qXNVGwFU53ICMLgu_MF?usp=sharing</v>
      </c>
      <c r="DN8" s="41" t="str">
        <f ca="1">IFERROR(__xludf.DUMMYFUNCTION("""COMPUTED_VALUE"""),"LEBIH TELITI LAGI DALAM PENGISIAN INTRUMEN DAN DOKUMEN TOLONG DISESUAIKAN DENGAN INDEKS ")</f>
        <v xml:space="preserve">LEBIH TELITI LAGI DALAM PENGISIAN INTRUMEN DAN DOKUMEN TOLONG DISESUAIKAN DENGAN INDEKS </v>
      </c>
      <c r="DO8" s="44" t="e">
        <f ca="1"/>
        <v>#NAME?</v>
      </c>
      <c r="DP8" s="46">
        <f ca="1"/>
        <v>1.1538461538461537</v>
      </c>
      <c r="DQ8" s="46">
        <f ca="1"/>
        <v>5</v>
      </c>
      <c r="DR8" s="46">
        <f ca="1"/>
        <v>2.1538461538461537</v>
      </c>
      <c r="DS8" s="46">
        <f ca="1"/>
        <v>1</v>
      </c>
      <c r="DT8" s="47">
        <f ca="1"/>
        <v>1</v>
      </c>
      <c r="DU8" s="48">
        <f ca="1"/>
        <v>5</v>
      </c>
      <c r="DV8" s="48">
        <f ca="1"/>
        <v>2</v>
      </c>
      <c r="DW8" s="48">
        <f ca="1"/>
        <v>1</v>
      </c>
      <c r="DX8" s="50">
        <f ca="1"/>
        <v>1</v>
      </c>
      <c r="DY8" s="48">
        <f ca="1"/>
        <v>5</v>
      </c>
      <c r="DZ8" s="48">
        <f ca="1"/>
        <v>2</v>
      </c>
      <c r="EA8" s="48">
        <f ca="1"/>
        <v>1</v>
      </c>
      <c r="EB8" s="51">
        <f ca="1"/>
        <v>1.3333333333333333</v>
      </c>
      <c r="EC8" s="48">
        <f ca="1"/>
        <v>5</v>
      </c>
      <c r="ED8" s="48">
        <f ca="1"/>
        <v>2.3333333333333335</v>
      </c>
      <c r="EE8" s="48">
        <f ca="1"/>
        <v>1.0000000000000002</v>
      </c>
      <c r="EF8" s="52">
        <f ca="1"/>
        <v>1</v>
      </c>
      <c r="EG8" s="48">
        <f ca="1"/>
        <v>5</v>
      </c>
      <c r="EH8" s="48">
        <f ca="1"/>
        <v>2</v>
      </c>
      <c r="EI8" s="48">
        <f ca="1"/>
        <v>1</v>
      </c>
      <c r="EJ8" s="53">
        <f ca="1"/>
        <v>1</v>
      </c>
      <c r="EK8" s="48">
        <f ca="1"/>
        <v>5</v>
      </c>
      <c r="EL8" s="48">
        <f ca="1"/>
        <v>2</v>
      </c>
      <c r="EM8" s="48">
        <f ca="1"/>
        <v>1</v>
      </c>
      <c r="EN8" s="54">
        <f ca="1"/>
        <v>1.6</v>
      </c>
      <c r="EO8" s="48">
        <f ca="1"/>
        <v>5</v>
      </c>
      <c r="EP8" s="48">
        <f ca="1"/>
        <v>2.6</v>
      </c>
      <c r="EQ8" s="48">
        <f ca="1"/>
        <v>1</v>
      </c>
    </row>
    <row r="9" spans="1:155" ht="15.75" customHeight="1" x14ac:dyDescent="0.3">
      <c r="A9" s="40">
        <f ca="1">IFERROR(__xludf.DUMMYFUNCTION("""COMPUTED_VALUE"""),46110.4736055208)</f>
        <v>46110.473605520798</v>
      </c>
      <c r="B9" s="41" t="str">
        <f ca="1">IFERROR(__xludf.DUMMYFUNCTION("""COMPUTED_VALUE"""),"sentosaperangin-angin843@dinas.belajar.id")</f>
        <v>sentosaperangin-angin843@dinas.belajar.id</v>
      </c>
      <c r="C9" s="41">
        <f ca="1">IFERROR(__xludf.DUMMYFUNCTION("""COMPUTED_VALUE"""),10200273)</f>
        <v>10200273</v>
      </c>
      <c r="D9" s="41" t="str">
        <f ca="1">IFERROR(__xludf.DUMMYFUNCTION("""COMPUTED_VALUE"""),"Bangun Purba")</f>
        <v>Bangun Purba</v>
      </c>
      <c r="E9" s="41" t="str">
        <f ca="1">IFERROR(__xludf.DUMMYFUNCTION("""COMPUTED_VALUE"""),"SD")</f>
        <v>SD</v>
      </c>
      <c r="F9" s="41" t="str">
        <f ca="1">IFERROR(__xludf.DUMMYFUNCTION("""COMPUTED_VALUE"""),"UPT SPF SD NEGERI 104286 BANDAR MERIAH")</f>
        <v>UPT SPF SD NEGERI 104286 BANDAR MERIAH</v>
      </c>
      <c r="G9" s="41" t="str">
        <f ca="1">IFERROR(__xludf.DUMMYFUNCTION("""COMPUTED_VALUE"""),"Sentosa Perangin angin, S.Pd")</f>
        <v>Sentosa Perangin angin, S.Pd</v>
      </c>
      <c r="H9" s="41" t="str">
        <f ca="1">IFERROR(__xludf.DUMMYFUNCTION("""COMPUTED_VALUE"""),"082364981707")</f>
        <v>082364981707</v>
      </c>
      <c r="I9" s="41" t="str">
        <f ca="1">IFERROR(__xludf.DUMMYFUNCTION("""COMPUTED_VALUE"""),"Drs.NASIB MUDA")</f>
        <v>Drs.NASIB MUDA</v>
      </c>
      <c r="J9" s="41" t="str">
        <f ca="1">IFERROR(__xludf.DUMMYFUNCTION("""COMPUTED_VALUE"""),"082370029539")</f>
        <v>082370029539</v>
      </c>
      <c r="K9" s="41" t="str">
        <f ca="1">IFERROR(__xludf.DUMMYFUNCTION("""COMPUTED_VALUE"""),"TW1")</f>
        <v>TW1</v>
      </c>
      <c r="L9" s="41" t="str">
        <f ca="1">IFERROR(__xludf.DUMMYFUNCTION("""COMPUTED_VALUE"""),"Maret")</f>
        <v>Maret</v>
      </c>
      <c r="M9" s="41" t="str">
        <f ca="1">IFERROR(__xludf.DUMMYFUNCTION("""COMPUTED_VALUE"""),"IV")</f>
        <v>IV</v>
      </c>
      <c r="N9" s="41">
        <f ca="1">IFERROR(__xludf.DUMMYFUNCTION("""COMPUTED_VALUE"""),2)</f>
        <v>2</v>
      </c>
      <c r="O9" s="41">
        <f ca="1">IFERROR(__xludf.DUMMYFUNCTION("""COMPUTED_VALUE"""),5)</f>
        <v>5</v>
      </c>
      <c r="P9" s="41">
        <f ca="1">IFERROR(__xludf.DUMMYFUNCTION("""COMPUTED_VALUE"""),3)</f>
        <v>3</v>
      </c>
      <c r="Q9" s="42" t="str">
        <f ca="1">IFERROR(__xludf.DUMMYFUNCTION("""COMPUTED_VALUE"""),"https://drive.google.com/drive/folders/10C7q6M7ucJS-Dh3nU07Agd0fAUPy9jjb?usp=sharing")</f>
        <v>https://drive.google.com/drive/folders/10C7q6M7ucJS-Dh3nU07Agd0fAUPy9jjb?usp=sharing</v>
      </c>
      <c r="R9" s="41">
        <f ca="1">IFERROR(__xludf.DUMMYFUNCTION("""COMPUTED_VALUE"""),2)</f>
        <v>2</v>
      </c>
      <c r="S9" s="41">
        <f ca="1">IFERROR(__xludf.DUMMYFUNCTION("""COMPUTED_VALUE"""),5)</f>
        <v>5</v>
      </c>
      <c r="T9" s="41">
        <f ca="1">IFERROR(__xludf.DUMMYFUNCTION("""COMPUTED_VALUE"""),3)</f>
        <v>3</v>
      </c>
      <c r="U9" s="42" t="str">
        <f ca="1">IFERROR(__xludf.DUMMYFUNCTION("""COMPUTED_VALUE"""),"https://drive.google.com/drive/folders/1Yw07WFkoLPkmhUgFQHv9vgo0ow9dWyDJ?usp=sharing")</f>
        <v>https://drive.google.com/drive/folders/1Yw07WFkoLPkmhUgFQHv9vgo0ow9dWyDJ?usp=sharing</v>
      </c>
      <c r="V9" s="41">
        <f ca="1">IFERROR(__xludf.DUMMYFUNCTION("""COMPUTED_VALUE"""),1)</f>
        <v>1</v>
      </c>
      <c r="W9" s="41">
        <f ca="1">IFERROR(__xludf.DUMMYFUNCTION("""COMPUTED_VALUE"""),5)</f>
        <v>5</v>
      </c>
      <c r="X9" s="41">
        <f ca="1">IFERROR(__xludf.DUMMYFUNCTION("""COMPUTED_VALUE"""),2)</f>
        <v>2</v>
      </c>
      <c r="Y9" s="42" t="str">
        <f ca="1">IFERROR(__xludf.DUMMYFUNCTION("""COMPUTED_VALUE"""),"https://drive.google.com/drive/folders/1UiCCCN759mQJc6ItSl0WphSApTkHCTOA?usp=sharing")</f>
        <v>https://drive.google.com/drive/folders/1UiCCCN759mQJc6ItSl0WphSApTkHCTOA?usp=sharing</v>
      </c>
      <c r="Z9" s="41">
        <f ca="1">IFERROR(__xludf.DUMMYFUNCTION("""COMPUTED_VALUE"""),2)</f>
        <v>2</v>
      </c>
      <c r="AA9" s="41">
        <f ca="1">IFERROR(__xludf.DUMMYFUNCTION("""COMPUTED_VALUE"""),5)</f>
        <v>5</v>
      </c>
      <c r="AB9" s="41">
        <f ca="1">IFERROR(__xludf.DUMMYFUNCTION("""COMPUTED_VALUE"""),3)</f>
        <v>3</v>
      </c>
      <c r="AC9" s="42" t="str">
        <f ca="1">IFERROR(__xludf.DUMMYFUNCTION("""COMPUTED_VALUE"""),"https://drive.google.com/drive/folders/14DrAL0KYxQ5AxS81Odbu3Xixkwa3ZUXB?usp=sharing")</f>
        <v>https://drive.google.com/drive/folders/14DrAL0KYxQ5AxS81Odbu3Xixkwa3ZUXB?usp=sharing</v>
      </c>
      <c r="AD9" s="41">
        <f ca="1">IFERROR(__xludf.DUMMYFUNCTION("""COMPUTED_VALUE"""),1)</f>
        <v>1</v>
      </c>
      <c r="AE9" s="41">
        <f ca="1">IFERROR(__xludf.DUMMYFUNCTION("""COMPUTED_VALUE"""),5)</f>
        <v>5</v>
      </c>
      <c r="AF9" s="41">
        <f ca="1">IFERROR(__xludf.DUMMYFUNCTION("""COMPUTED_VALUE"""),2)</f>
        <v>2</v>
      </c>
      <c r="AG9" s="42" t="str">
        <f ca="1">IFERROR(__xludf.DUMMYFUNCTION("""COMPUTED_VALUE"""),"https://drive.google.com/drive/folders/14DrAL0KYxQ5AxS81Odbu3Xixkwa3ZUXB?usp=sharing")</f>
        <v>https://drive.google.com/drive/folders/14DrAL0KYxQ5AxS81Odbu3Xixkwa3ZUXB?usp=sharing</v>
      </c>
      <c r="AH9" s="41">
        <f ca="1">IFERROR(__xludf.DUMMYFUNCTION("""COMPUTED_VALUE"""),1)</f>
        <v>1</v>
      </c>
      <c r="AI9" s="41">
        <f ca="1">IFERROR(__xludf.DUMMYFUNCTION("""COMPUTED_VALUE"""),5)</f>
        <v>5</v>
      </c>
      <c r="AJ9" s="41">
        <f ca="1">IFERROR(__xludf.DUMMYFUNCTION("""COMPUTED_VALUE"""),2)</f>
        <v>2</v>
      </c>
      <c r="AK9" s="42" t="str">
        <f ca="1">IFERROR(__xludf.DUMMYFUNCTION("""COMPUTED_VALUE"""),"https://drive.google.com/drive/folders/1eiSixBhEg4wkhQ9rsI-6UYcN6eiOxqy-?usp=sharing")</f>
        <v>https://drive.google.com/drive/folders/1eiSixBhEg4wkhQ9rsI-6UYcN6eiOxqy-?usp=sharing</v>
      </c>
      <c r="AL9" s="41">
        <f ca="1">IFERROR(__xludf.DUMMYFUNCTION("""COMPUTED_VALUE"""),1)</f>
        <v>1</v>
      </c>
      <c r="AM9" s="41">
        <f ca="1">IFERROR(__xludf.DUMMYFUNCTION("""COMPUTED_VALUE"""),5)</f>
        <v>5</v>
      </c>
      <c r="AN9" s="41">
        <f ca="1">IFERROR(__xludf.DUMMYFUNCTION("""COMPUTED_VALUE"""),2)</f>
        <v>2</v>
      </c>
      <c r="AO9" s="42" t="str">
        <f ca="1">IFERROR(__xludf.DUMMYFUNCTION("""COMPUTED_VALUE"""),"https://drive.google.com/drive/folders/1RO9rdAMt-7Avr8AoPnhPXQSE3aQte8cE?usp=sharing")</f>
        <v>https://drive.google.com/drive/folders/1RO9rdAMt-7Avr8AoPnhPXQSE3aQte8cE?usp=sharing</v>
      </c>
      <c r="AP9" s="41">
        <f ca="1">IFERROR(__xludf.DUMMYFUNCTION("""COMPUTED_VALUE"""),1)</f>
        <v>1</v>
      </c>
      <c r="AQ9" s="41">
        <f ca="1">IFERROR(__xludf.DUMMYFUNCTION("""COMPUTED_VALUE"""),5)</f>
        <v>5</v>
      </c>
      <c r="AR9" s="41">
        <f ca="1">IFERROR(__xludf.DUMMYFUNCTION("""COMPUTED_VALUE"""),2)</f>
        <v>2</v>
      </c>
      <c r="AS9" s="42" t="str">
        <f ca="1">IFERROR(__xludf.DUMMYFUNCTION("""COMPUTED_VALUE"""),"https://drive.google.com/drive/folders/1RO9rdAMt-7Avr8AoPnhPXQSE3aQte8cE?usp=sharing")</f>
        <v>https://drive.google.com/drive/folders/1RO9rdAMt-7Avr8AoPnhPXQSE3aQte8cE?usp=sharing</v>
      </c>
      <c r="AT9" s="41">
        <f ca="1">IFERROR(__xludf.DUMMYFUNCTION("""COMPUTED_VALUE"""),2)</f>
        <v>2</v>
      </c>
      <c r="AU9" s="41">
        <f ca="1">IFERROR(__xludf.DUMMYFUNCTION("""COMPUTED_VALUE"""),5)</f>
        <v>5</v>
      </c>
      <c r="AV9" s="41">
        <f ca="1">IFERROR(__xludf.DUMMYFUNCTION("""COMPUTED_VALUE"""),3)</f>
        <v>3</v>
      </c>
      <c r="AW9" s="42" t="str">
        <f ca="1">IFERROR(__xludf.DUMMYFUNCTION("""COMPUTED_VALUE"""),"https://drive.google.com/drive/folders/1Pd3P6VbzMbr8_N1iB7Gx8XI8yBwgvixZ?usp=sharing")</f>
        <v>https://drive.google.com/drive/folders/1Pd3P6VbzMbr8_N1iB7Gx8XI8yBwgvixZ?usp=sharing</v>
      </c>
      <c r="AX9" s="41">
        <f ca="1">IFERROR(__xludf.DUMMYFUNCTION("""COMPUTED_VALUE"""),1)</f>
        <v>1</v>
      </c>
      <c r="AY9" s="41">
        <f ca="1">IFERROR(__xludf.DUMMYFUNCTION("""COMPUTED_VALUE"""),5)</f>
        <v>5</v>
      </c>
      <c r="AZ9" s="41">
        <f ca="1">IFERROR(__xludf.DUMMYFUNCTION("""COMPUTED_VALUE"""),2)</f>
        <v>2</v>
      </c>
      <c r="BA9" s="42" t="str">
        <f ca="1">IFERROR(__xludf.DUMMYFUNCTION("""COMPUTED_VALUE"""),"https://drive.google.com/drive/folders/1EvsaG_fozppXuOWx2OVBme41K8CjY-7j?usp=sharing")</f>
        <v>https://drive.google.com/drive/folders/1EvsaG_fozppXuOWx2OVBme41K8CjY-7j?usp=sharing</v>
      </c>
      <c r="BB9" s="41">
        <f ca="1">IFERROR(__xludf.DUMMYFUNCTION("""COMPUTED_VALUE"""),1)</f>
        <v>1</v>
      </c>
      <c r="BC9" s="41">
        <f ca="1">IFERROR(__xludf.DUMMYFUNCTION("""COMPUTED_VALUE"""),5)</f>
        <v>5</v>
      </c>
      <c r="BD9" s="41">
        <f ca="1">IFERROR(__xludf.DUMMYFUNCTION("""COMPUTED_VALUE"""),2)</f>
        <v>2</v>
      </c>
      <c r="BE9" s="41" t="str">
        <f ca="1">IFERROR(__xludf.DUMMYFUNCTION("""COMPUTED_VALUE"""),"-")</f>
        <v>-</v>
      </c>
      <c r="BF9" s="41">
        <f ca="1">IFERROR(__xludf.DUMMYFUNCTION("""COMPUTED_VALUE"""),1)</f>
        <v>1</v>
      </c>
      <c r="BG9" s="41">
        <f ca="1">IFERROR(__xludf.DUMMYFUNCTION("""COMPUTED_VALUE"""),5)</f>
        <v>5</v>
      </c>
      <c r="BH9" s="41">
        <f ca="1">IFERROR(__xludf.DUMMYFUNCTION("""COMPUTED_VALUE"""),2)</f>
        <v>2</v>
      </c>
      <c r="BI9" s="42" t="str">
        <f ca="1">IFERROR(__xludf.DUMMYFUNCTION("""COMPUTED_VALUE"""),"https://drive.google.com/drive/folders/1u-nkU4nz4EZvJangtRheJ4ClIaNqeJni?usp=sharing")</f>
        <v>https://drive.google.com/drive/folders/1u-nkU4nz4EZvJangtRheJ4ClIaNqeJni?usp=sharing</v>
      </c>
      <c r="BJ9" s="41">
        <f ca="1">IFERROR(__xludf.DUMMYFUNCTION("""COMPUTED_VALUE"""),2)</f>
        <v>2</v>
      </c>
      <c r="BK9" s="41">
        <f ca="1">IFERROR(__xludf.DUMMYFUNCTION("""COMPUTED_VALUE"""),5)</f>
        <v>5</v>
      </c>
      <c r="BL9" s="41">
        <f ca="1">IFERROR(__xludf.DUMMYFUNCTION("""COMPUTED_VALUE"""),3)</f>
        <v>3</v>
      </c>
      <c r="BM9" s="42" t="str">
        <f ca="1">IFERROR(__xludf.DUMMYFUNCTION("""COMPUTED_VALUE"""),"https://drive.google.com/drive/folders/1cO_9ptZNa7gNeD-sCxnPFuR283WBJecO?usp=sharing")</f>
        <v>https://drive.google.com/drive/folders/1cO_9ptZNa7gNeD-sCxnPFuR283WBJecO?usp=sharing</v>
      </c>
      <c r="BN9" s="41">
        <f ca="1">IFERROR(__xludf.DUMMYFUNCTION("""COMPUTED_VALUE"""),1)</f>
        <v>1</v>
      </c>
      <c r="BO9" s="41">
        <f ca="1">IFERROR(__xludf.DUMMYFUNCTION("""COMPUTED_VALUE"""),5)</f>
        <v>5</v>
      </c>
      <c r="BP9" s="41">
        <f ca="1">IFERROR(__xludf.DUMMYFUNCTION("""COMPUTED_VALUE"""),2)</f>
        <v>2</v>
      </c>
      <c r="BQ9" s="41" t="str">
        <f ca="1">IFERROR(__xludf.DUMMYFUNCTION("""COMPUTED_VALUE"""),"-")</f>
        <v>-</v>
      </c>
      <c r="BR9" s="41">
        <f ca="1">IFERROR(__xludf.DUMMYFUNCTION("""COMPUTED_VALUE"""),1)</f>
        <v>1</v>
      </c>
      <c r="BS9" s="41">
        <f ca="1">IFERROR(__xludf.DUMMYFUNCTION("""COMPUTED_VALUE"""),5)</f>
        <v>5</v>
      </c>
      <c r="BT9" s="41">
        <f ca="1">IFERROR(__xludf.DUMMYFUNCTION("""COMPUTED_VALUE"""),2)</f>
        <v>2</v>
      </c>
      <c r="BU9" s="41" t="str">
        <f ca="1">IFERROR(__xludf.DUMMYFUNCTION("""COMPUTED_VALUE"""),"-")</f>
        <v>-</v>
      </c>
      <c r="BV9" s="41">
        <f ca="1">IFERROR(__xludf.DUMMYFUNCTION("""COMPUTED_VALUE"""),1)</f>
        <v>1</v>
      </c>
      <c r="BW9" s="41">
        <f ca="1">IFERROR(__xludf.DUMMYFUNCTION("""COMPUTED_VALUE"""),5)</f>
        <v>5</v>
      </c>
      <c r="BX9" s="41">
        <f ca="1">IFERROR(__xludf.DUMMYFUNCTION("""COMPUTED_VALUE"""),2)</f>
        <v>2</v>
      </c>
      <c r="BY9" s="56" t="str">
        <f ca="1">IFERROR(__xludf.DUMMYFUNCTION("""COMPUTED_VALUE"""),"-")</f>
        <v>-</v>
      </c>
      <c r="BZ9" s="41">
        <f ca="1">IFERROR(__xludf.DUMMYFUNCTION("""COMPUTED_VALUE"""),1)</f>
        <v>1</v>
      </c>
      <c r="CA9" s="41">
        <f ca="1">IFERROR(__xludf.DUMMYFUNCTION("""COMPUTED_VALUE"""),5)</f>
        <v>5</v>
      </c>
      <c r="CB9" s="41">
        <f ca="1">IFERROR(__xludf.DUMMYFUNCTION("""COMPUTED_VALUE"""),2)</f>
        <v>2</v>
      </c>
      <c r="CC9" s="42" t="str">
        <f ca="1">IFERROR(__xludf.DUMMYFUNCTION("""COMPUTED_VALUE"""),"https://drive.google.com/drive/folders/1ezlgTZ1c4zVUOIN2kODJeCmWdNk78ix9?usp=sharing")</f>
        <v>https://drive.google.com/drive/folders/1ezlgTZ1c4zVUOIN2kODJeCmWdNk78ix9?usp=sharing</v>
      </c>
      <c r="CD9" s="41">
        <f ca="1">IFERROR(__xludf.DUMMYFUNCTION("""COMPUTED_VALUE"""),1)</f>
        <v>1</v>
      </c>
      <c r="CE9" s="41">
        <f ca="1">IFERROR(__xludf.DUMMYFUNCTION("""COMPUTED_VALUE"""),5)</f>
        <v>5</v>
      </c>
      <c r="CF9" s="41">
        <f ca="1">IFERROR(__xludf.DUMMYFUNCTION("""COMPUTED_VALUE"""),2)</f>
        <v>2</v>
      </c>
      <c r="CG9" s="42" t="str">
        <f ca="1">IFERROR(__xludf.DUMMYFUNCTION("""COMPUTED_VALUE"""),"https://drive.google.com/drive/folders/14bh07s4serEYzMk3I0r2zBG_BMy9dsY7?usp=sharing")</f>
        <v>https://drive.google.com/drive/folders/14bh07s4serEYzMk3I0r2zBG_BMy9dsY7?usp=sharing</v>
      </c>
      <c r="CH9" s="41">
        <f ca="1">IFERROR(__xludf.DUMMYFUNCTION("""COMPUTED_VALUE"""),1)</f>
        <v>1</v>
      </c>
      <c r="CI9" s="41">
        <f ca="1">IFERROR(__xludf.DUMMYFUNCTION("""COMPUTED_VALUE"""),5)</f>
        <v>5</v>
      </c>
      <c r="CJ9" s="41">
        <f ca="1">IFERROR(__xludf.DUMMYFUNCTION("""COMPUTED_VALUE"""),2)</f>
        <v>2</v>
      </c>
      <c r="CK9" s="42" t="str">
        <f ca="1">IFERROR(__xludf.DUMMYFUNCTION("""COMPUTED_VALUE"""),"https://drive.google.com/drive/folders/16S3KjY34a9nro9iPRB_13N2IXBtnRj44?usp=sharing")</f>
        <v>https://drive.google.com/drive/folders/16S3KjY34a9nro9iPRB_13N2IXBtnRj44?usp=sharing</v>
      </c>
      <c r="CL9" s="41">
        <f ca="1">IFERROR(__xludf.DUMMYFUNCTION("""COMPUTED_VALUE"""),1)</f>
        <v>1</v>
      </c>
      <c r="CM9" s="41">
        <f ca="1">IFERROR(__xludf.DUMMYFUNCTION("""COMPUTED_VALUE"""),5)</f>
        <v>5</v>
      </c>
      <c r="CN9" s="41">
        <f ca="1">IFERROR(__xludf.DUMMYFUNCTION("""COMPUTED_VALUE"""),2)</f>
        <v>2</v>
      </c>
      <c r="CO9" s="42" t="str">
        <f ca="1">IFERROR(__xludf.DUMMYFUNCTION("""COMPUTED_VALUE"""),"https://drive.google.com/drive/folders/1GlTjQffr6Zxum8ia8I3579-DNZOMm9Zs?usp=sharing")</f>
        <v>https://drive.google.com/drive/folders/1GlTjQffr6Zxum8ia8I3579-DNZOMm9Zs?usp=sharing</v>
      </c>
      <c r="CP9" s="41">
        <f ca="1">IFERROR(__xludf.DUMMYFUNCTION("""COMPUTED_VALUE"""),1)</f>
        <v>1</v>
      </c>
      <c r="CQ9" s="41">
        <f ca="1">IFERROR(__xludf.DUMMYFUNCTION("""COMPUTED_VALUE"""),5)</f>
        <v>5</v>
      </c>
      <c r="CR9" s="41">
        <f ca="1">IFERROR(__xludf.DUMMYFUNCTION("""COMPUTED_VALUE"""),2)</f>
        <v>2</v>
      </c>
      <c r="CS9" s="42" t="str">
        <f ca="1">IFERROR(__xludf.DUMMYFUNCTION("""COMPUTED_VALUE"""),"https://drive.google.com/drive/folders/1rkdI9l_M0W5U4Eoc6oB4ArJbGzrstagb?usp=sharing")</f>
        <v>https://drive.google.com/drive/folders/1rkdI9l_M0W5U4Eoc6oB4ArJbGzrstagb?usp=sharing</v>
      </c>
      <c r="CT9" s="41">
        <f ca="1">IFERROR(__xludf.DUMMYFUNCTION("""COMPUTED_VALUE"""),1)</f>
        <v>1</v>
      </c>
      <c r="CU9" s="41">
        <f ca="1">IFERROR(__xludf.DUMMYFUNCTION("""COMPUTED_VALUE"""),5)</f>
        <v>5</v>
      </c>
      <c r="CV9" s="41">
        <f ca="1">IFERROR(__xludf.DUMMYFUNCTION("""COMPUTED_VALUE"""),2)</f>
        <v>2</v>
      </c>
      <c r="CW9" s="42" t="str">
        <f ca="1">IFERROR(__xludf.DUMMYFUNCTION("""COMPUTED_VALUE"""),"https://drive.google.com/drive/folders/1QRsy27oQwkM76oo8AhiAMiA-8v0IrqUd?usp=sharing")</f>
        <v>https://drive.google.com/drive/folders/1QRsy27oQwkM76oo8AhiAMiA-8v0IrqUd?usp=sharing</v>
      </c>
      <c r="CX9" s="41">
        <f ca="1">IFERROR(__xludf.DUMMYFUNCTION("""COMPUTED_VALUE"""),2)</f>
        <v>2</v>
      </c>
      <c r="CY9" s="41">
        <f ca="1">IFERROR(__xludf.DUMMYFUNCTION("""COMPUTED_VALUE"""),5)</f>
        <v>5</v>
      </c>
      <c r="CZ9" s="41">
        <f ca="1">IFERROR(__xludf.DUMMYFUNCTION("""COMPUTED_VALUE"""),3)</f>
        <v>3</v>
      </c>
      <c r="DA9" s="42" t="str">
        <f ca="1">IFERROR(__xludf.DUMMYFUNCTION("""COMPUTED_VALUE"""),"https://drive.google.com/drive/folders/1QRsy27oQwkM76oo8AhiAMiA-8v0IrqUd?usp=sharing")</f>
        <v>https://drive.google.com/drive/folders/1QRsy27oQwkM76oo8AhiAMiA-8v0IrqUd?usp=sharing</v>
      </c>
      <c r="DB9" s="41">
        <f ca="1">IFERROR(__xludf.DUMMYFUNCTION("""COMPUTED_VALUE"""),2)</f>
        <v>2</v>
      </c>
      <c r="DC9" s="41">
        <f ca="1">IFERROR(__xludf.DUMMYFUNCTION("""COMPUTED_VALUE"""),5)</f>
        <v>5</v>
      </c>
      <c r="DD9" s="41">
        <f ca="1">IFERROR(__xludf.DUMMYFUNCTION("""COMPUTED_VALUE"""),3)</f>
        <v>3</v>
      </c>
      <c r="DE9" s="42" t="str">
        <f ca="1">IFERROR(__xludf.DUMMYFUNCTION("""COMPUTED_VALUE"""),"https://drive.google.com/drive/folders/1VaBgSezKUuMdNeX25b53PESysxJEXZ88?usp=sharing")</f>
        <v>https://drive.google.com/drive/folders/1VaBgSezKUuMdNeX25b53PESysxJEXZ88?usp=sharing</v>
      </c>
      <c r="DF9" s="41">
        <f ca="1">IFERROR(__xludf.DUMMYFUNCTION("""COMPUTED_VALUE"""),2)</f>
        <v>2</v>
      </c>
      <c r="DG9" s="41">
        <f ca="1">IFERROR(__xludf.DUMMYFUNCTION("""COMPUTED_VALUE"""),5)</f>
        <v>5</v>
      </c>
      <c r="DH9" s="41">
        <f ca="1">IFERROR(__xludf.DUMMYFUNCTION("""COMPUTED_VALUE"""),3)</f>
        <v>3</v>
      </c>
      <c r="DI9" s="42" t="str">
        <f ca="1">IFERROR(__xludf.DUMMYFUNCTION("""COMPUTED_VALUE"""),"https://drive.google.com/drive/folders/17f5X_9U59hRWP0PnpQdeQbXEUNCG3dyd?usp=sharing")</f>
        <v>https://drive.google.com/drive/folders/17f5X_9U59hRWP0PnpQdeQbXEUNCG3dyd?usp=sharing</v>
      </c>
      <c r="DJ9" s="41">
        <f ca="1">IFERROR(__xludf.DUMMYFUNCTION("""COMPUTED_VALUE"""),1)</f>
        <v>1</v>
      </c>
      <c r="DK9" s="41">
        <f ca="1">IFERROR(__xludf.DUMMYFUNCTION("""COMPUTED_VALUE"""),5)</f>
        <v>5</v>
      </c>
      <c r="DL9" s="41">
        <f ca="1">IFERROR(__xludf.DUMMYFUNCTION("""COMPUTED_VALUE"""),2)</f>
        <v>2</v>
      </c>
      <c r="DM9" s="41" t="str">
        <f ca="1">IFERROR(__xludf.DUMMYFUNCTION("""COMPUTED_VALUE"""),"-")</f>
        <v>-</v>
      </c>
      <c r="DN9" s="41" t="str">
        <f ca="1">IFERROR(__xludf.DUMMYFUNCTION("""COMPUTED_VALUE"""),"AGAR LEBIH DITINGKATKAN DALAM SASARAN KINERJA TRIWULAN BERIKUTNYA")</f>
        <v>AGAR LEBIH DITINGKATKAN DALAM SASARAN KINERJA TRIWULAN BERIKUTNYA</v>
      </c>
      <c r="DO9" s="44" t="e">
        <f ca="1"/>
        <v>#NAME?</v>
      </c>
      <c r="DP9" s="46">
        <f ca="1"/>
        <v>1.3076923076923077</v>
      </c>
      <c r="DQ9" s="46">
        <f ca="1"/>
        <v>5</v>
      </c>
      <c r="DR9" s="46">
        <f ca="1"/>
        <v>2.3076923076923075</v>
      </c>
      <c r="DS9" s="46">
        <f ca="1"/>
        <v>0.99999999999999978</v>
      </c>
      <c r="DT9" s="47">
        <f ca="1"/>
        <v>1.5</v>
      </c>
      <c r="DU9" s="48">
        <f ca="1"/>
        <v>5</v>
      </c>
      <c r="DV9" s="48">
        <f ca="1"/>
        <v>2.5</v>
      </c>
      <c r="DW9" s="48">
        <f ca="1"/>
        <v>1</v>
      </c>
      <c r="DX9" s="50">
        <f ca="1"/>
        <v>1.25</v>
      </c>
      <c r="DY9" s="48">
        <f ca="1"/>
        <v>5</v>
      </c>
      <c r="DZ9" s="48">
        <f ca="1"/>
        <v>2.25</v>
      </c>
      <c r="EA9" s="48">
        <f ca="1"/>
        <v>1</v>
      </c>
      <c r="EB9" s="51">
        <f ca="1"/>
        <v>1.3333333333333333</v>
      </c>
      <c r="EC9" s="48">
        <f ca="1"/>
        <v>5</v>
      </c>
      <c r="ED9" s="48">
        <f ca="1"/>
        <v>2.3333333333333335</v>
      </c>
      <c r="EE9" s="48">
        <f ca="1"/>
        <v>1.0000000000000002</v>
      </c>
      <c r="EF9" s="52">
        <f ca="1"/>
        <v>1</v>
      </c>
      <c r="EG9" s="48">
        <f ca="1"/>
        <v>5</v>
      </c>
      <c r="EH9" s="48">
        <f ca="1"/>
        <v>2</v>
      </c>
      <c r="EI9" s="48">
        <f ca="1"/>
        <v>1</v>
      </c>
      <c r="EJ9" s="53">
        <f ca="1"/>
        <v>1</v>
      </c>
      <c r="EK9" s="48">
        <f ca="1"/>
        <v>5</v>
      </c>
      <c r="EL9" s="48">
        <f ca="1"/>
        <v>2</v>
      </c>
      <c r="EM9" s="48">
        <f ca="1"/>
        <v>1</v>
      </c>
      <c r="EN9" s="54">
        <f ca="1"/>
        <v>1.6</v>
      </c>
      <c r="EO9" s="48">
        <f ca="1"/>
        <v>5</v>
      </c>
      <c r="EP9" s="48">
        <f ca="1"/>
        <v>2.6</v>
      </c>
      <c r="EQ9" s="48">
        <f ca="1"/>
        <v>1</v>
      </c>
    </row>
    <row r="10" spans="1:155" ht="15.75" customHeight="1" x14ac:dyDescent="0.3">
      <c r="A10" s="40">
        <f ca="1">IFERROR(__xludf.DUMMYFUNCTION("""COMPUTED_VALUE"""),46110.4870622106)</f>
        <v>46110.487062210603</v>
      </c>
      <c r="B10" s="41" t="str">
        <f ca="1">IFERROR(__xludf.DUMMYFUNCTION("""COMPUTED_VALUE"""),"linda.purba24@guru.sd.belajar.id")</f>
        <v>linda.purba24@guru.sd.belajar.id</v>
      </c>
      <c r="C10" s="41">
        <f ca="1">IFERROR(__xludf.DUMMYFUNCTION("""COMPUTED_VALUE"""),10200190)</f>
        <v>10200190</v>
      </c>
      <c r="D10" s="41" t="str">
        <f ca="1">IFERROR(__xludf.DUMMYFUNCTION("""COMPUTED_VALUE"""),"Bangun Purba")</f>
        <v>Bangun Purba</v>
      </c>
      <c r="E10" s="41" t="str">
        <f ca="1">IFERROR(__xludf.DUMMYFUNCTION("""COMPUTED_VALUE"""),"SD")</f>
        <v>SD</v>
      </c>
      <c r="F10" s="41" t="str">
        <f ca="1">IFERROR(__xludf.DUMMYFUNCTION("""COMPUTED_VALUE"""),"UPT SPF SD NEGERI 106202 SIALANG")</f>
        <v>UPT SPF SD NEGERI 106202 SIALANG</v>
      </c>
      <c r="G10" s="41" t="str">
        <f ca="1">IFERROR(__xludf.DUMMYFUNCTION("""COMPUTED_VALUE"""),"Linda Purba, S. Pd")</f>
        <v>Linda Purba, S. Pd</v>
      </c>
      <c r="H10" s="41" t="str">
        <f ca="1">IFERROR(__xludf.DUMMYFUNCTION("""COMPUTED_VALUE"""),"081397495277")</f>
        <v>081397495277</v>
      </c>
      <c r="I10" s="41" t="str">
        <f ca="1">IFERROR(__xludf.DUMMYFUNCTION("""COMPUTED_VALUE"""),"RASMAITA S.Pd")</f>
        <v>RASMAITA S.Pd</v>
      </c>
      <c r="J10" s="41" t="str">
        <f ca="1">IFERROR(__xludf.DUMMYFUNCTION("""COMPUTED_VALUE"""),"082163067080")</f>
        <v>082163067080</v>
      </c>
      <c r="K10" s="41" t="str">
        <f ca="1">IFERROR(__xludf.DUMMYFUNCTION("""COMPUTED_VALUE"""),"TW1")</f>
        <v>TW1</v>
      </c>
      <c r="L10" s="41" t="str">
        <f ca="1">IFERROR(__xludf.DUMMYFUNCTION("""COMPUTED_VALUE"""),"Maret")</f>
        <v>Maret</v>
      </c>
      <c r="M10" s="41" t="str">
        <f ca="1">IFERROR(__xludf.DUMMYFUNCTION("""COMPUTED_VALUE"""),"IV")</f>
        <v>IV</v>
      </c>
      <c r="N10" s="41">
        <f ca="1">IFERROR(__xludf.DUMMYFUNCTION("""COMPUTED_VALUE"""),1)</f>
        <v>1</v>
      </c>
      <c r="O10" s="41">
        <f ca="1">IFERROR(__xludf.DUMMYFUNCTION("""COMPUTED_VALUE"""),5)</f>
        <v>5</v>
      </c>
      <c r="P10" s="41">
        <f ca="1">IFERROR(__xludf.DUMMYFUNCTION("""COMPUTED_VALUE"""),2)</f>
        <v>2</v>
      </c>
      <c r="Q10" s="42" t="str">
        <f ca="1">IFERROR(__xludf.DUMMYFUNCTION("""COMPUTED_VALUE"""),"https://drive.google.com/drive/folders/1M5bVKaXRRZAMAeqR7Lc53ZeZGoMDwhmy?usp=sharing")</f>
        <v>https://drive.google.com/drive/folders/1M5bVKaXRRZAMAeqR7Lc53ZeZGoMDwhmy?usp=sharing</v>
      </c>
      <c r="R10" s="41">
        <f ca="1">IFERROR(__xludf.DUMMYFUNCTION("""COMPUTED_VALUE"""),2)</f>
        <v>2</v>
      </c>
      <c r="S10" s="41">
        <f ca="1">IFERROR(__xludf.DUMMYFUNCTION("""COMPUTED_VALUE"""),5)</f>
        <v>5</v>
      </c>
      <c r="T10" s="41">
        <f ca="1">IFERROR(__xludf.DUMMYFUNCTION("""COMPUTED_VALUE"""),3)</f>
        <v>3</v>
      </c>
      <c r="U10" s="42" t="str">
        <f ca="1">IFERROR(__xludf.DUMMYFUNCTION("""COMPUTED_VALUE"""),"https://drive.google.com/drive/folders/1agvFM1DY96rRHNJgKlR17Ll6-wHF2A4f?usp=sharing")</f>
        <v>https://drive.google.com/drive/folders/1agvFM1DY96rRHNJgKlR17Ll6-wHF2A4f?usp=sharing</v>
      </c>
      <c r="V10" s="41">
        <f ca="1">IFERROR(__xludf.DUMMYFUNCTION("""COMPUTED_VALUE"""),1)</f>
        <v>1</v>
      </c>
      <c r="W10" s="41">
        <f ca="1">IFERROR(__xludf.DUMMYFUNCTION("""COMPUTED_VALUE"""),5)</f>
        <v>5</v>
      </c>
      <c r="X10" s="41">
        <f ca="1">IFERROR(__xludf.DUMMYFUNCTION("""COMPUTED_VALUE"""),2)</f>
        <v>2</v>
      </c>
      <c r="Y10" s="42" t="str">
        <f ca="1">IFERROR(__xludf.DUMMYFUNCTION("""COMPUTED_VALUE"""),"https://drive.google.com/drive/folders/1KFlKbIOipWmnh1JL03Gcg8nAbYwP8Pvz?usp=sharing")</f>
        <v>https://drive.google.com/drive/folders/1KFlKbIOipWmnh1JL03Gcg8nAbYwP8Pvz?usp=sharing</v>
      </c>
      <c r="Z10" s="41">
        <f ca="1">IFERROR(__xludf.DUMMYFUNCTION("""COMPUTED_VALUE"""),2)</f>
        <v>2</v>
      </c>
      <c r="AA10" s="41">
        <f ca="1">IFERROR(__xludf.DUMMYFUNCTION("""COMPUTED_VALUE"""),5)</f>
        <v>5</v>
      </c>
      <c r="AB10" s="41">
        <f ca="1">IFERROR(__xludf.DUMMYFUNCTION("""COMPUTED_VALUE"""),3)</f>
        <v>3</v>
      </c>
      <c r="AC10" s="42" t="str">
        <f ca="1">IFERROR(__xludf.DUMMYFUNCTION("""COMPUTED_VALUE"""),"https://drive.google.com/drive/folders/11xBAZrWIa1aZ6K1lCdX01re-tOo-w_8O?usp=sharing")</f>
        <v>https://drive.google.com/drive/folders/11xBAZrWIa1aZ6K1lCdX01re-tOo-w_8O?usp=sharing</v>
      </c>
      <c r="AD10" s="41">
        <f ca="1">IFERROR(__xludf.DUMMYFUNCTION("""COMPUTED_VALUE"""),1)</f>
        <v>1</v>
      </c>
      <c r="AE10" s="41">
        <f ca="1">IFERROR(__xludf.DUMMYFUNCTION("""COMPUTED_VALUE"""),5)</f>
        <v>5</v>
      </c>
      <c r="AF10" s="41">
        <f ca="1">IFERROR(__xludf.DUMMYFUNCTION("""COMPUTED_VALUE"""),2)</f>
        <v>2</v>
      </c>
      <c r="AG10" s="42" t="str">
        <f ca="1">IFERROR(__xludf.DUMMYFUNCTION("""COMPUTED_VALUE"""),"https://drive.google.com/drive/folders/1iRkqR5NMfv0gcZ4EfYohR5ky7NXBEbOx?usp=sharing")</f>
        <v>https://drive.google.com/drive/folders/1iRkqR5NMfv0gcZ4EfYohR5ky7NXBEbOx?usp=sharing</v>
      </c>
      <c r="AH10" s="41">
        <f ca="1">IFERROR(__xludf.DUMMYFUNCTION("""COMPUTED_VALUE"""),1)</f>
        <v>1</v>
      </c>
      <c r="AI10" s="41">
        <f ca="1">IFERROR(__xludf.DUMMYFUNCTION("""COMPUTED_VALUE"""),5)</f>
        <v>5</v>
      </c>
      <c r="AJ10" s="41">
        <f ca="1">IFERROR(__xludf.DUMMYFUNCTION("""COMPUTED_VALUE"""),2)</f>
        <v>2</v>
      </c>
      <c r="AK10" s="42" t="str">
        <f ca="1">IFERROR(__xludf.DUMMYFUNCTION("""COMPUTED_VALUE"""),"https://drive.google.com/drive/folders/1Ti74irxn5VTKXKRtlE61Q1zkR6GiMtkn?usp=sharing")</f>
        <v>https://drive.google.com/drive/folders/1Ti74irxn5VTKXKRtlE61Q1zkR6GiMtkn?usp=sharing</v>
      </c>
      <c r="AL10" s="41">
        <f ca="1">IFERROR(__xludf.DUMMYFUNCTION("""COMPUTED_VALUE"""),1)</f>
        <v>1</v>
      </c>
      <c r="AM10" s="41">
        <f ca="1">IFERROR(__xludf.DUMMYFUNCTION("""COMPUTED_VALUE"""),5)</f>
        <v>5</v>
      </c>
      <c r="AN10" s="41">
        <f ca="1">IFERROR(__xludf.DUMMYFUNCTION("""COMPUTED_VALUE"""),2)</f>
        <v>2</v>
      </c>
      <c r="AO10" s="42" t="str">
        <f ca="1">IFERROR(__xludf.DUMMYFUNCTION("""COMPUTED_VALUE"""),"https://drive.google.com/drive/folders/1TYGh_rzxPkHQUDWgx01UAyUxXuX3QZ8X?usp=sharing")</f>
        <v>https://drive.google.com/drive/folders/1TYGh_rzxPkHQUDWgx01UAyUxXuX3QZ8X?usp=sharing</v>
      </c>
      <c r="AP10" s="41">
        <f ca="1">IFERROR(__xludf.DUMMYFUNCTION("""COMPUTED_VALUE"""),1)</f>
        <v>1</v>
      </c>
      <c r="AQ10" s="41">
        <f ca="1">IFERROR(__xludf.DUMMYFUNCTION("""COMPUTED_VALUE"""),5)</f>
        <v>5</v>
      </c>
      <c r="AR10" s="41">
        <f ca="1">IFERROR(__xludf.DUMMYFUNCTION("""COMPUTED_VALUE"""),2)</f>
        <v>2</v>
      </c>
      <c r="AS10" s="42" t="str">
        <f ca="1">IFERROR(__xludf.DUMMYFUNCTION("""COMPUTED_VALUE"""),"https://drive.google.com/drive/folders/1jFYEFHYa7kojwV7vwcWJbs9uwu3gYVb9?usp=sharing")</f>
        <v>https://drive.google.com/drive/folders/1jFYEFHYa7kojwV7vwcWJbs9uwu3gYVb9?usp=sharing</v>
      </c>
      <c r="AT10" s="41">
        <f ca="1">IFERROR(__xludf.DUMMYFUNCTION("""COMPUTED_VALUE"""),1)</f>
        <v>1</v>
      </c>
      <c r="AU10" s="41">
        <f ca="1">IFERROR(__xludf.DUMMYFUNCTION("""COMPUTED_VALUE"""),5)</f>
        <v>5</v>
      </c>
      <c r="AV10" s="41">
        <f ca="1">IFERROR(__xludf.DUMMYFUNCTION("""COMPUTED_VALUE"""),2)</f>
        <v>2</v>
      </c>
      <c r="AW10" s="42" t="str">
        <f ca="1">IFERROR(__xludf.DUMMYFUNCTION("""COMPUTED_VALUE"""),"https://drive.google.com/drive/folders/1BsOjjjLEua1vlg_R0NAayxnBYdPYUwB1?usp=sharing")</f>
        <v>https://drive.google.com/drive/folders/1BsOjjjLEua1vlg_R0NAayxnBYdPYUwB1?usp=sharing</v>
      </c>
      <c r="AX10" s="41">
        <f ca="1">IFERROR(__xludf.DUMMYFUNCTION("""COMPUTED_VALUE"""),1)</f>
        <v>1</v>
      </c>
      <c r="AY10" s="41">
        <f ca="1">IFERROR(__xludf.DUMMYFUNCTION("""COMPUTED_VALUE"""),5)</f>
        <v>5</v>
      </c>
      <c r="AZ10" s="41">
        <f ca="1">IFERROR(__xludf.DUMMYFUNCTION("""COMPUTED_VALUE"""),2)</f>
        <v>2</v>
      </c>
      <c r="BA10" s="42" t="str">
        <f ca="1">IFERROR(__xludf.DUMMYFUNCTION("""COMPUTED_VALUE"""),"https://drive.google.com/drive/folders/14APw6MUkiC58FolMDNypgy5-cGl1bH9Y?usp=sharing")</f>
        <v>https://drive.google.com/drive/folders/14APw6MUkiC58FolMDNypgy5-cGl1bH9Y?usp=sharing</v>
      </c>
      <c r="BB10" s="41">
        <f ca="1">IFERROR(__xludf.DUMMYFUNCTION("""COMPUTED_VALUE"""),1)</f>
        <v>1</v>
      </c>
      <c r="BC10" s="41">
        <f ca="1">IFERROR(__xludf.DUMMYFUNCTION("""COMPUTED_VALUE"""),5)</f>
        <v>5</v>
      </c>
      <c r="BD10" s="41">
        <f ca="1">IFERROR(__xludf.DUMMYFUNCTION("""COMPUTED_VALUE"""),2)</f>
        <v>2</v>
      </c>
      <c r="BE10" s="42" t="str">
        <f ca="1">IFERROR(__xludf.DUMMYFUNCTION("""COMPUTED_VALUE"""),"https://drive.google.com/drive/folders/19ZBHz7wbxlgXJqiY_Lg0lOIXVFchJmp_?usp=sharing")</f>
        <v>https://drive.google.com/drive/folders/19ZBHz7wbxlgXJqiY_Lg0lOIXVFchJmp_?usp=sharing</v>
      </c>
      <c r="BF10" s="41">
        <f ca="1">IFERROR(__xludf.DUMMYFUNCTION("""COMPUTED_VALUE"""),1)</f>
        <v>1</v>
      </c>
      <c r="BG10" s="41">
        <f ca="1">IFERROR(__xludf.DUMMYFUNCTION("""COMPUTED_VALUE"""),5)</f>
        <v>5</v>
      </c>
      <c r="BH10" s="41">
        <f ca="1">IFERROR(__xludf.DUMMYFUNCTION("""COMPUTED_VALUE"""),2)</f>
        <v>2</v>
      </c>
      <c r="BI10" s="42" t="str">
        <f ca="1">IFERROR(__xludf.DUMMYFUNCTION("""COMPUTED_VALUE"""),"https://drive.google.com/drive/folders/1uFzRiik9MhahbKHjawQv_8qX850Iief1?usp=sharing")</f>
        <v>https://drive.google.com/drive/folders/1uFzRiik9MhahbKHjawQv_8qX850Iief1?usp=sharing</v>
      </c>
      <c r="BJ10" s="41">
        <f ca="1">IFERROR(__xludf.DUMMYFUNCTION("""COMPUTED_VALUE"""),1)</f>
        <v>1</v>
      </c>
      <c r="BK10" s="41">
        <f ca="1">IFERROR(__xludf.DUMMYFUNCTION("""COMPUTED_VALUE"""),5)</f>
        <v>5</v>
      </c>
      <c r="BL10" s="41">
        <f ca="1">IFERROR(__xludf.DUMMYFUNCTION("""COMPUTED_VALUE"""),2)</f>
        <v>2</v>
      </c>
      <c r="BM10" s="42" t="str">
        <f ca="1">IFERROR(__xludf.DUMMYFUNCTION("""COMPUTED_VALUE"""),"https://drive.google.com/drive/folders/1l9abxYlZYOeaqpoRKguEt6-65azmlp1_?usp=sharing")</f>
        <v>https://drive.google.com/drive/folders/1l9abxYlZYOeaqpoRKguEt6-65azmlp1_?usp=sharing</v>
      </c>
      <c r="BN10" s="41">
        <f ca="1">IFERROR(__xludf.DUMMYFUNCTION("""COMPUTED_VALUE"""),1)</f>
        <v>1</v>
      </c>
      <c r="BO10" s="41">
        <f ca="1">IFERROR(__xludf.DUMMYFUNCTION("""COMPUTED_VALUE"""),5)</f>
        <v>5</v>
      </c>
      <c r="BP10" s="41">
        <f ca="1">IFERROR(__xludf.DUMMYFUNCTION("""COMPUTED_VALUE"""),2)</f>
        <v>2</v>
      </c>
      <c r="BQ10" s="41" t="str">
        <f ca="1">IFERROR(__xludf.DUMMYFUNCTION("""COMPUTED_VALUE"""),"-")</f>
        <v>-</v>
      </c>
      <c r="BR10" s="41">
        <f ca="1">IFERROR(__xludf.DUMMYFUNCTION("""COMPUTED_VALUE"""),1)</f>
        <v>1</v>
      </c>
      <c r="BS10" s="41">
        <f ca="1">IFERROR(__xludf.DUMMYFUNCTION("""COMPUTED_VALUE"""),5)</f>
        <v>5</v>
      </c>
      <c r="BT10" s="41">
        <f ca="1">IFERROR(__xludf.DUMMYFUNCTION("""COMPUTED_VALUE"""),2)</f>
        <v>2</v>
      </c>
      <c r="BU10" s="41" t="str">
        <f ca="1">IFERROR(__xludf.DUMMYFUNCTION("""COMPUTED_VALUE"""),"-")</f>
        <v>-</v>
      </c>
      <c r="BV10" s="41">
        <f ca="1">IFERROR(__xludf.DUMMYFUNCTION("""COMPUTED_VALUE"""),1)</f>
        <v>1</v>
      </c>
      <c r="BW10" s="41">
        <f ca="1">IFERROR(__xludf.DUMMYFUNCTION("""COMPUTED_VALUE"""),5)</f>
        <v>5</v>
      </c>
      <c r="BX10" s="41">
        <f ca="1">IFERROR(__xludf.DUMMYFUNCTION("""COMPUTED_VALUE"""),2)</f>
        <v>2</v>
      </c>
      <c r="BY10" s="56" t="str">
        <f ca="1">IFERROR(__xludf.DUMMYFUNCTION("""COMPUTED_VALUE"""),"-")</f>
        <v>-</v>
      </c>
      <c r="BZ10" s="41">
        <f ca="1">IFERROR(__xludf.DUMMYFUNCTION("""COMPUTED_VALUE"""),1)</f>
        <v>1</v>
      </c>
      <c r="CA10" s="41">
        <f ca="1">IFERROR(__xludf.DUMMYFUNCTION("""COMPUTED_VALUE"""),5)</f>
        <v>5</v>
      </c>
      <c r="CB10" s="41">
        <f ca="1">IFERROR(__xludf.DUMMYFUNCTION("""COMPUTED_VALUE"""),2)</f>
        <v>2</v>
      </c>
      <c r="CC10" s="42" t="str">
        <f ca="1">IFERROR(__xludf.DUMMYFUNCTION("""COMPUTED_VALUE"""),"https://drive.google.com/drive/folders/1Nz8wC7LIdMbCK-070o0IfcDWdrkY-GXZ?usp=sharing")</f>
        <v>https://drive.google.com/drive/folders/1Nz8wC7LIdMbCK-070o0IfcDWdrkY-GXZ?usp=sharing</v>
      </c>
      <c r="CD10" s="41">
        <f ca="1">IFERROR(__xludf.DUMMYFUNCTION("""COMPUTED_VALUE"""),1)</f>
        <v>1</v>
      </c>
      <c r="CE10" s="41">
        <f ca="1">IFERROR(__xludf.DUMMYFUNCTION("""COMPUTED_VALUE"""),5)</f>
        <v>5</v>
      </c>
      <c r="CF10" s="41">
        <f ca="1">IFERROR(__xludf.DUMMYFUNCTION("""COMPUTED_VALUE"""),2)</f>
        <v>2</v>
      </c>
      <c r="CG10" s="42" t="str">
        <f ca="1">IFERROR(__xludf.DUMMYFUNCTION("""COMPUTED_VALUE"""),"https://drive.google.com/drive/folders/1C736LiPL77c8aArJyETwwM9ZH8j77obQ?usp=sharing")</f>
        <v>https://drive.google.com/drive/folders/1C736LiPL77c8aArJyETwwM9ZH8j77obQ?usp=sharing</v>
      </c>
      <c r="CH10" s="41">
        <f ca="1">IFERROR(__xludf.DUMMYFUNCTION("""COMPUTED_VALUE"""),1)</f>
        <v>1</v>
      </c>
      <c r="CI10" s="41">
        <f ca="1">IFERROR(__xludf.DUMMYFUNCTION("""COMPUTED_VALUE"""),5)</f>
        <v>5</v>
      </c>
      <c r="CJ10" s="41">
        <f ca="1">IFERROR(__xludf.DUMMYFUNCTION("""COMPUTED_VALUE"""),2)</f>
        <v>2</v>
      </c>
      <c r="CK10" s="42" t="str">
        <f ca="1">IFERROR(__xludf.DUMMYFUNCTION("""COMPUTED_VALUE"""),"https://drive.google.com/drive/folders/1p81-FDlxwcv3zoE9DnCaArshxZD88Fjr?usp=sharing")</f>
        <v>https://drive.google.com/drive/folders/1p81-FDlxwcv3zoE9DnCaArshxZD88Fjr?usp=sharing</v>
      </c>
      <c r="CL10" s="41">
        <f ca="1">IFERROR(__xludf.DUMMYFUNCTION("""COMPUTED_VALUE"""),2)</f>
        <v>2</v>
      </c>
      <c r="CM10" s="41">
        <f ca="1">IFERROR(__xludf.DUMMYFUNCTION("""COMPUTED_VALUE"""),5)</f>
        <v>5</v>
      </c>
      <c r="CN10" s="41">
        <f ca="1">IFERROR(__xludf.DUMMYFUNCTION("""COMPUTED_VALUE"""),3)</f>
        <v>3</v>
      </c>
      <c r="CO10" s="42" t="str">
        <f ca="1">IFERROR(__xludf.DUMMYFUNCTION("""COMPUTED_VALUE"""),"https://drive.google.com/drive/folders/18TwXFCE8L6bL5UotS7a0ZZBkRZy_MdgL?usp=sharing")</f>
        <v>https://drive.google.com/drive/folders/18TwXFCE8L6bL5UotS7a0ZZBkRZy_MdgL?usp=sharing</v>
      </c>
      <c r="CP10" s="41">
        <f ca="1">IFERROR(__xludf.DUMMYFUNCTION("""COMPUTED_VALUE"""),2)</f>
        <v>2</v>
      </c>
      <c r="CQ10" s="41">
        <f ca="1">IFERROR(__xludf.DUMMYFUNCTION("""COMPUTED_VALUE"""),5)</f>
        <v>5</v>
      </c>
      <c r="CR10" s="41">
        <f ca="1">IFERROR(__xludf.DUMMYFUNCTION("""COMPUTED_VALUE"""),3)</f>
        <v>3</v>
      </c>
      <c r="CS10" s="42" t="str">
        <f ca="1">IFERROR(__xludf.DUMMYFUNCTION("""COMPUTED_VALUE"""),"https://drive.google.com/drive/folders/1U81DH8qjs5LTm3SaJtDmj13nnBJAx5YT?usp=sharing")</f>
        <v>https://drive.google.com/drive/folders/1U81DH8qjs5LTm3SaJtDmj13nnBJAx5YT?usp=sharing</v>
      </c>
      <c r="CT10" s="41">
        <f ca="1">IFERROR(__xludf.DUMMYFUNCTION("""COMPUTED_VALUE"""),1)</f>
        <v>1</v>
      </c>
      <c r="CU10" s="41">
        <f ca="1">IFERROR(__xludf.DUMMYFUNCTION("""COMPUTED_VALUE"""),5)</f>
        <v>5</v>
      </c>
      <c r="CV10" s="41">
        <f ca="1">IFERROR(__xludf.DUMMYFUNCTION("""COMPUTED_VALUE"""),2)</f>
        <v>2</v>
      </c>
      <c r="CW10" s="42" t="str">
        <f ca="1">IFERROR(__xludf.DUMMYFUNCTION("""COMPUTED_VALUE"""),"https://drive.google.com/drive/folders/1W27t1AcIJdd7YvNxGCEeP5L3kTRd55bp?usp=sharing")</f>
        <v>https://drive.google.com/drive/folders/1W27t1AcIJdd7YvNxGCEeP5L3kTRd55bp?usp=sharing</v>
      </c>
      <c r="CX10" s="41">
        <f ca="1">IFERROR(__xludf.DUMMYFUNCTION("""COMPUTED_VALUE"""),2)</f>
        <v>2</v>
      </c>
      <c r="CY10" s="41">
        <f ca="1">IFERROR(__xludf.DUMMYFUNCTION("""COMPUTED_VALUE"""),5)</f>
        <v>5</v>
      </c>
      <c r="CZ10" s="41">
        <f ca="1">IFERROR(__xludf.DUMMYFUNCTION("""COMPUTED_VALUE"""),3)</f>
        <v>3</v>
      </c>
      <c r="DA10" s="42" t="str">
        <f ca="1">IFERROR(__xludf.DUMMYFUNCTION("""COMPUTED_VALUE"""),"https://drive.google.com/drive/folders/12vJRRhbaoW5fqLKViD9tHRy6XYzK9Aup?usp=sharing")</f>
        <v>https://drive.google.com/drive/folders/12vJRRhbaoW5fqLKViD9tHRy6XYzK9Aup?usp=sharing</v>
      </c>
      <c r="DB10" s="41">
        <f ca="1">IFERROR(__xludf.DUMMYFUNCTION("""COMPUTED_VALUE"""),1)</f>
        <v>1</v>
      </c>
      <c r="DC10" s="41">
        <f ca="1">IFERROR(__xludf.DUMMYFUNCTION("""COMPUTED_VALUE"""),5)</f>
        <v>5</v>
      </c>
      <c r="DD10" s="41">
        <f ca="1">IFERROR(__xludf.DUMMYFUNCTION("""COMPUTED_VALUE"""),2)</f>
        <v>2</v>
      </c>
      <c r="DE10" s="42" t="str">
        <f ca="1">IFERROR(__xludf.DUMMYFUNCTION("""COMPUTED_VALUE"""),"https://drive.google.com/drive/folders/1JYe4CdDiYVwXB1iI7mrhlwOE9vy9rudf?usp=sharing")</f>
        <v>https://drive.google.com/drive/folders/1JYe4CdDiYVwXB1iI7mrhlwOE9vy9rudf?usp=sharing</v>
      </c>
      <c r="DF10" s="41">
        <f ca="1">IFERROR(__xludf.DUMMYFUNCTION("""COMPUTED_VALUE"""),2)</f>
        <v>2</v>
      </c>
      <c r="DG10" s="41">
        <f ca="1">IFERROR(__xludf.DUMMYFUNCTION("""COMPUTED_VALUE"""),5)</f>
        <v>5</v>
      </c>
      <c r="DH10" s="41">
        <f ca="1">IFERROR(__xludf.DUMMYFUNCTION("""COMPUTED_VALUE"""),3)</f>
        <v>3</v>
      </c>
      <c r="DI10" s="42" t="str">
        <f ca="1">IFERROR(__xludf.DUMMYFUNCTION("""COMPUTED_VALUE"""),"https://drive.google.com/drive/folders/1Hfcz1poicnEhZmBzrlFGEQzCCL83j2Iq?usp=sharing")</f>
        <v>https://drive.google.com/drive/folders/1Hfcz1poicnEhZmBzrlFGEQzCCL83j2Iq?usp=sharing</v>
      </c>
      <c r="DJ10" s="41">
        <f ca="1">IFERROR(__xludf.DUMMYFUNCTION("""COMPUTED_VALUE"""),2)</f>
        <v>2</v>
      </c>
      <c r="DK10" s="41">
        <f ca="1">IFERROR(__xludf.DUMMYFUNCTION("""COMPUTED_VALUE"""),5)</f>
        <v>5</v>
      </c>
      <c r="DL10" s="41">
        <f ca="1">IFERROR(__xludf.DUMMYFUNCTION("""COMPUTED_VALUE"""),3)</f>
        <v>3</v>
      </c>
      <c r="DM10" s="42" t="str">
        <f ca="1">IFERROR(__xludf.DUMMYFUNCTION("""COMPUTED_VALUE"""),"https://drive.google.com/drive/folders/14u9NyjtgniUb3sDJBi3k6P63FgYq3mPu?usp=sharing")</f>
        <v>https://drive.google.com/drive/folders/14u9NyjtgniUb3sDJBi3k6P63FgYq3mPu?usp=sharing</v>
      </c>
      <c r="DN10" s="41" t="str">
        <f ca="1">IFERROR(__xludf.DUMMYFUNCTION("""COMPUTED_VALUE"""),"UNTUK SETIAP INSTRUMEN TOLONG DIISI SESUAI DENGAN INDEKS DAN LEBIH DIPERHATIKAN LAGI")</f>
        <v>UNTUK SETIAP INSTRUMEN TOLONG DIISI SESUAI DENGAN INDEKS DAN LEBIH DIPERHATIKAN LAGI</v>
      </c>
      <c r="DO10" s="44" t="e">
        <f ca="1"/>
        <v>#NAME?</v>
      </c>
      <c r="DP10" s="46">
        <f ca="1"/>
        <v>1.2692307692307692</v>
      </c>
      <c r="DQ10" s="46">
        <f ca="1"/>
        <v>5</v>
      </c>
      <c r="DR10" s="46">
        <f ca="1"/>
        <v>2.2692307692307692</v>
      </c>
      <c r="DS10" s="46">
        <f ca="1"/>
        <v>1</v>
      </c>
      <c r="DT10" s="47">
        <f ca="1"/>
        <v>1.3333333333333333</v>
      </c>
      <c r="DU10" s="48">
        <f ca="1"/>
        <v>5</v>
      </c>
      <c r="DV10" s="48">
        <f ca="1"/>
        <v>2.3333333333333335</v>
      </c>
      <c r="DW10" s="48">
        <f ca="1"/>
        <v>1.0000000000000002</v>
      </c>
      <c r="DX10" s="50">
        <f ca="1"/>
        <v>1</v>
      </c>
      <c r="DY10" s="48">
        <f ca="1"/>
        <v>5</v>
      </c>
      <c r="DZ10" s="48">
        <f ca="1"/>
        <v>2</v>
      </c>
      <c r="EA10" s="48">
        <f ca="1"/>
        <v>1</v>
      </c>
      <c r="EB10" s="51">
        <f ca="1"/>
        <v>1</v>
      </c>
      <c r="EC10" s="48">
        <f ca="1"/>
        <v>5</v>
      </c>
      <c r="ED10" s="48">
        <f ca="1"/>
        <v>2</v>
      </c>
      <c r="EE10" s="48">
        <f ca="1"/>
        <v>1</v>
      </c>
      <c r="EF10" s="52">
        <f ca="1"/>
        <v>1</v>
      </c>
      <c r="EG10" s="48">
        <f ca="1"/>
        <v>5</v>
      </c>
      <c r="EH10" s="48">
        <f ca="1"/>
        <v>2</v>
      </c>
      <c r="EI10" s="48">
        <f ca="1"/>
        <v>1</v>
      </c>
      <c r="EJ10" s="53">
        <f ca="1"/>
        <v>1.4</v>
      </c>
      <c r="EK10" s="48">
        <f ca="1"/>
        <v>5</v>
      </c>
      <c r="EL10" s="48">
        <f ca="1"/>
        <v>2.4</v>
      </c>
      <c r="EM10" s="48">
        <f ca="1"/>
        <v>1</v>
      </c>
      <c r="EN10" s="54">
        <f ca="1"/>
        <v>1.6</v>
      </c>
      <c r="EO10" s="48">
        <f ca="1"/>
        <v>5</v>
      </c>
      <c r="EP10" s="48">
        <f ca="1"/>
        <v>2.6</v>
      </c>
      <c r="EQ10" s="48">
        <f ca="1"/>
        <v>1</v>
      </c>
    </row>
  </sheetData>
  <hyperlinks>
    <hyperlink ref="Q2" r:id="rId1" display="https://drive.google.com/drive/folders/1i7QdMQMXxJcHoylJCN-yVcxf3qKS4R4e?usp=sharing" xr:uid="{CF49E977-C0C9-4288-979C-9AF6AEBCDA80}"/>
    <hyperlink ref="U2" r:id="rId2" display="https://drive.google.com/drive/folders/1Sq53UmgZdsE3atpHvgdbdRFSbn4JxAY-?usp=sharing" xr:uid="{D7F99B6A-B6FB-427C-8BFA-A1F2CECD90C5}"/>
    <hyperlink ref="Y2" r:id="rId3" display="https://drive.google.com/drive/folders/1ERur9mLsjSUhq9JW_YEZLLfv6PcysvEx?usp=sharing" xr:uid="{3D8EBF03-DE7C-48FD-A1D6-AD4998CA777F}"/>
    <hyperlink ref="AC2" r:id="rId4" display="https://drive.google.com/drive/folders/1W2eUM6dYG6LsY-tLKJWwC2-l8jYeAygx?usp=sharing" xr:uid="{2B869B19-2C7F-4F5F-B257-A26CFD39304A}"/>
    <hyperlink ref="AG2" r:id="rId5" display="https://drive.google.com/drive/folders/1OgyTBFy3_2bJu0_H6dnTerh1XZfTZvth?usp=sharing" xr:uid="{1B0F206E-B61E-4526-B15F-09771010712A}"/>
    <hyperlink ref="AK2" r:id="rId6" display="https://drive.google.com/drive/folders/1rqgPOvDQYMkMbITdF-StpP-mzyCpKdQi?usp=sharing" xr:uid="{01881562-CD55-41A1-8D37-C11586BCC187}"/>
    <hyperlink ref="AO2" r:id="rId7" display="https://drive.google.com/drive/folders/1WkC2_Q43ewpVY_7l9TowB8KP_8vUfNQ6?usp=sharing" xr:uid="{435E419B-8C3F-437C-B6FC-328E6C13570C}"/>
    <hyperlink ref="AS2" r:id="rId8" display="https://drive.google.com/drive/folders/144Jo2RvuD7SIIJqSF7fZKBCcOB6taBoU?usp=sharing" xr:uid="{4F0BC874-0590-432D-A733-E90A6699E791}"/>
    <hyperlink ref="AW2" r:id="rId9" display="https://drive.google.com/drive/folders/19ZVlsxEF4kck_3H-yM67pFQOc8H9zjAg?usp=sharing" xr:uid="{DE126EF8-2D59-4BF1-ACBF-CA18F9FC249D}"/>
    <hyperlink ref="BA2" r:id="rId10" display="https://drive.google.com/drive/folders/1P8c7kD0Sr63BPGkdw17sG4U-eCg_eXxW?usp=sharing" xr:uid="{5C3208FD-570A-4643-915A-374F9E19DC7A}"/>
    <hyperlink ref="BE2" r:id="rId11" display="https://drive.google.com/drive/folders/1I5XS8V9c934R1JGlMgDUL33eeabETi80?usp=sharing" xr:uid="{3D624D6D-B200-426E-A1A5-627AF9AC2A9C}"/>
    <hyperlink ref="BI2" r:id="rId12" display="https://drive.google.com/drive/folders/1YRYnUVDYfwezjtaTNksPKXUc56e5cdmq?usp=sharing" xr:uid="{5806727B-C427-4929-A666-F16CD5E5AE94}"/>
    <hyperlink ref="BM2" r:id="rId13" display="https://drive.google.com/drive/folders/1gLVQTKU61-z5Y7Jv4h_J1WjA5DtPRmFn?usp=sharing" xr:uid="{B2282145-E600-437A-8EEB-FFA7EDAEC963}"/>
    <hyperlink ref="BQ2" r:id="rId14" display="https://drive.google.com/drive/folders/1vuEdfaUndHHZ7RnSGb127gHiGImCjFqB?usp=sharing" xr:uid="{7B9D84D7-DC16-4E75-9194-E8CC6A6ED8E6}"/>
    <hyperlink ref="BU2" r:id="rId15" display="https://drive.google.com/drive/folders/1vuEdfaUndHHZ7RnSGb127gHiGImCjFqB?usp=sharing" xr:uid="{3DA03B4E-154A-41CD-8D3F-BB7F6BA2A8BC}"/>
    <hyperlink ref="BY2" r:id="rId16" display="https://drive.google.com/drive/folders/1vuEdfaUndHHZ7RnSGb127gHiGImCjFqB?usp=sharing" xr:uid="{AC6E10A4-9068-48B0-B1F7-969B1C8CABFC}"/>
    <hyperlink ref="CC2" r:id="rId17" display="https://drive.google.com/drive/folders/1EZpxEsBK5BtMAWsPzfMhTQetuO6G6PSj?usp=sharing" xr:uid="{77C4258E-F63E-43C8-8EEC-6BBFBE8C8044}"/>
    <hyperlink ref="CG2" r:id="rId18" display="https://drive.google.com/drive/folders/1PZ-dZ6WkzEZT9FXw1xCT9nFo6qzAa8sd?usp=sharing" xr:uid="{853E01D8-99D5-4B6A-ABCD-027AE6F0F802}"/>
    <hyperlink ref="CK2" r:id="rId19" display="https://drive.google.com/drive/folders/1Vgmlv9fzfFhOuSYKzcUWptb7Qyl19Mwp?usp=sharing" xr:uid="{EC22FC5A-C436-4AB5-B2FB-1AA228E9E5E8}"/>
    <hyperlink ref="CO2" r:id="rId20" display="https://drive.google.com/drive/folders/16vL21jWnRmNku0DBk0I4ExVNj1b8pMOY?usp=sharing" xr:uid="{48138878-E973-4C45-9894-F361C5DB65E3}"/>
    <hyperlink ref="CS2" r:id="rId21" display="https://drive.google.com/drive/folders/19W2ZtWYNWU04mlJeLrK6OGbbBIvIBdRd?usp=sharing" xr:uid="{03B44247-F758-4693-A19C-ED13809AAD3F}"/>
    <hyperlink ref="CW2" r:id="rId22" display="https://drive.google.com/drive/folders/1fBOJmCzjNpLW_o7FqF0T59Q6BAMfVIyP?usp=sharing" xr:uid="{BE18DF92-2537-4878-A768-75EAA80E92E6}"/>
    <hyperlink ref="DA2" r:id="rId23" display="https://drive.google.com/drive/folders/1wiX3fL8MwwZrNJLzctJ7K5aVW2QYI2yn?usp=sharing" xr:uid="{18A56A83-5EB8-4A96-84E5-4328DA13FF6D}"/>
    <hyperlink ref="DE2" r:id="rId24" display="https://drive.google.com/drive/folders/1VbrTab1y0J_fJaW0BxBaj7hIQgckTsMb?usp=sharing" xr:uid="{889FD5A3-7F2B-4BF8-B162-98B023B31974}"/>
    <hyperlink ref="DI2" r:id="rId25" display="https://drive.google.com/drive/folders/1IgR9isWqYN1rdO5C-VoEEV7AxSd-9LPu?usp=sharing" xr:uid="{F3517B95-0155-41A4-A558-50092AF02F61}"/>
    <hyperlink ref="DM2" r:id="rId26" display="https://drive.google.com/drive/folders/1of10pGILtR8bXtYT9Re8gPGNXOLWNnss?usp=sharing" xr:uid="{386A3750-5CD6-4411-A619-DC410F84127E}"/>
    <hyperlink ref="Q3" r:id="rId27" display="https://drive.google.com/drive/folders/1gGCYSp7oRN_v8o65-jaDYXM6sz6unm2Z?usp=sharing" xr:uid="{411E3764-6FAB-4969-B097-73F560E1880B}"/>
    <hyperlink ref="U3" r:id="rId28" display="https://drive.google.com/drive/folders/1NKAkwLo3U8RutPQ-hY_S4Q_ax0OUJbVK?usp=sharing" xr:uid="{5DCE5B97-ACEC-440A-8028-F87830F0ED99}"/>
    <hyperlink ref="Y3" r:id="rId29" display="https://drive.google.com/drive/folders/1I7My7T-fS4o9hOtwH4VihfwuG2SuyMRR?usp=sharing" xr:uid="{756A54D9-830B-411D-9778-0CE05B10011D}"/>
    <hyperlink ref="AC3" r:id="rId30" display="https://drive.google.com/drive/folders/1_VO5d6ed2JJSkvm2xhpb7TZ8zoGLjTAB?usp=sharing" xr:uid="{65D5B784-7EB8-463F-825F-34C557336FD6}"/>
    <hyperlink ref="AG3" r:id="rId31" display="https://drive.google.com/drive/folders/1_qxqYXYYVKX2dJ9T21ygvZHil8rp6ymv?usp=sharing" xr:uid="{D55C9B0F-2CC2-444F-A76F-8E89FC3990B6}"/>
    <hyperlink ref="AK3" r:id="rId32" display="https://drive.google.com/drive/folders/1prXgtiyoJzCt66CWu7MuCmRMpi56uXdn?usp=sharing" xr:uid="{E812EF0B-9B80-45A1-BD5E-5BCE4CE1C758}"/>
    <hyperlink ref="AO3" r:id="rId33" display="https://drive.google.com/drive/folders/1HF3J2DvBZ5Ggjcqp3RihLsKiTk0m3cZl?usp=sharing" xr:uid="{63D61BBC-5111-4A16-943B-6E0668BE459A}"/>
    <hyperlink ref="AS3" r:id="rId34" display="https://drive.google.com/drive/folders/1eCacD-1yUMYnb3adc9mobeVpxfuSOFke?usp=sharing" xr:uid="{79E5B0D1-BC29-4A79-A04B-3AA59907EC6D}"/>
    <hyperlink ref="AW3" r:id="rId35" display="https://drive.google.com/drive/folders/1R2ablrk9snbgfeAmT4kVMLtjnbL8H6YV?usp=sharing" xr:uid="{FB8D9070-2A6B-4E45-AEC5-411755A47F18}"/>
    <hyperlink ref="BA3" r:id="rId36" display="https://drive.google.com/drive/folders/1glrgu18zxg4a68E5FHVz_hpxBuzh0S_I?usp=sharing" xr:uid="{1CE02F72-CEBA-487D-B0B9-D8118CFCCA73}"/>
    <hyperlink ref="BE3" r:id="rId37" display="https://drive.google.com/drive/folders/1uALe8OSs1qNYnzNKvTpT3mYrA9vxqphf?usp=sharing" xr:uid="{A5A3B366-2B38-425E-BF10-FDF153CAB40C}"/>
    <hyperlink ref="BI3" r:id="rId38" display="https://drive.google.com/drive/folders/18g-c8r3hMcsWeJ8Ih1Wz0qOOR5Nlk87P?usp=sharing" xr:uid="{7CFB78F4-9993-4458-BCB7-CB4E7E632E89}"/>
    <hyperlink ref="BM3" r:id="rId39" display="https://drive.google.com/drive/folders/1cL_CtEBy0RB6pvlml9OdbQEVRrxhZS39?usp=sharing" xr:uid="{DC1C32A3-6210-4769-9D04-F90E68DBF4ED}"/>
    <hyperlink ref="BQ3" r:id="rId40" display="https://drive.google.com/drive/folders/1x5UZEghJa-Tv0ei-y84HqCkOE-hav0bk?usp=sharing" xr:uid="{A2BBC1DA-DE64-41DB-8435-B23F29A66810}"/>
    <hyperlink ref="BU3" r:id="rId41" display="https://drive.google.com/drive/folders/1CtXYLgMLDMMr0Tr7JZBuil82FbjUZdlA?usp=sharing" xr:uid="{AD6A0439-FB1F-44EF-9C29-0964BF46EE46}"/>
    <hyperlink ref="BY3" r:id="rId42" display="https://drive.google.com/drive/folders/1EWEDuwdnG-9As9JiK6gNPHhHZiAp5QUh?usp=sharing" xr:uid="{D22D8101-CF70-45BF-AB6D-5387739A50E1}"/>
    <hyperlink ref="CC3" r:id="rId43" display="https://drive.google.com/drive/folders/18qcgFcmR6kkThbFDMoAJdgdbxGZ7MmOF?usp=sharing" xr:uid="{91302F2F-E1B8-4D8A-9EE4-731059D1A050}"/>
    <hyperlink ref="CG3" r:id="rId44" display="https://drive.google.com/drive/folders/1lpQyAJXzVGE9CzH_bkvULR8neq5tFGvg?usp=sharing" xr:uid="{777CC117-AD74-4229-92F1-FDEA2E2F7A03}"/>
    <hyperlink ref="CK3" r:id="rId45" display="https://drive.google.com/drive/folders/1f4cFmkQ7-vNQNim6J1GCAaIdwL3U9dEH?usp=sharing" xr:uid="{319C8802-5F20-4E72-949E-5A885143C572}"/>
    <hyperlink ref="CO3" r:id="rId46" display="https://drive.google.com/drive/folders/1RSlmVFMPu5NNa-lSRKEelMS2WSbdpufD?usp=sharing" xr:uid="{62762036-65EB-44B5-94F7-ABD1C2BD6023}"/>
    <hyperlink ref="CS3" r:id="rId47" display="https://drive.google.com/drive/folders/1QpU2hD-M4zvyHz5xJBrVpKhGA6NEzdgo?usp=sharing" xr:uid="{109117C5-AFD9-4BFC-9428-1C34C12106EA}"/>
    <hyperlink ref="CW3" r:id="rId48" display="https://drive.google.com/drive/folders/1bLWItWWAo3G5VMja4RN_wM549r1OQ7zB?usp=sharing" xr:uid="{541195A2-25AC-4612-AC4B-BDCCE0DC298A}"/>
    <hyperlink ref="DA3" r:id="rId49" display="https://drive.google.com/drive/folders/1OweBKiJ3fhRZHr0RVZ3RUSEjGg-HyfS8?usp=sharing" xr:uid="{27DF2ACD-7E73-44FF-A1C1-7D8B1CEF217C}"/>
    <hyperlink ref="DE3" r:id="rId50" display="https://drive.google.com/drive/folders/1OweBKiJ3fhRZHr0RVZ3RUSEjGg-HyfS8?usp=sharing" xr:uid="{BB2623DE-C1EC-46B4-BD38-22C73F845FE2}"/>
    <hyperlink ref="DI3" r:id="rId51" display="https://drive.google.com/drive/folders/1x40d817xIlwIN7o7MfHc9KsMq2t7SttF?usp=sharing" xr:uid="{132A6AF1-C766-4737-9890-D7BFF9942964}"/>
    <hyperlink ref="DM3" r:id="rId52" display="https://drive.google.com/drive/folders/1XxrUk4kKg06eKvwbNiAghKx9YdJaJ5WY?usp=sharing" xr:uid="{AA30448C-E536-4155-83C2-772A3399455C}"/>
    <hyperlink ref="Q4" r:id="rId53" display="https://drive.google.com/drive/folders/1ive_AL5fvbYE_iumXqw4MDJVNG41zQP5?usp=sharing" xr:uid="{79C5AD75-2B29-42AF-A1B7-EFD97FBC7D70}"/>
    <hyperlink ref="U4" r:id="rId54" display="https://drive.google.com/drive/folders/1lVpnK8-Vc9zMAzBgrNFUzgWo0dnhnUdB?usp=sharing" xr:uid="{91AABE50-7F39-4290-B2A6-15D207CD40E8}"/>
    <hyperlink ref="Y4" r:id="rId55" display="https://drive.google.com/drive/folders/1lVpnK8-Vc9zMAzBgrNFUzgWo0dnhnUdB?usp=sharing" xr:uid="{96079792-3B6E-4A21-935D-007926D80EAE}"/>
    <hyperlink ref="AC4" r:id="rId56" display="https://drive.google.com/drive/folders/1ZP8izJq-VZ3bDsHKcUUzOWNDZNc_5HPJ?usp=sharing" xr:uid="{26240012-E42B-4175-8921-72E417F757FE}"/>
    <hyperlink ref="AG4" r:id="rId57" display="https://drive.google.com/drive/folders/10V9e8XZMiJRegLxO20-RfXvaXyDuvlns?usp=sharing" xr:uid="{A37FC99C-34F2-4792-AB34-02B614FF1D8D}"/>
    <hyperlink ref="AK4" r:id="rId58" display="https://drive.google.com/drive/folders/1nXdXuf66varVwURzHumEMTdCMKUjCuHL?usp=sharing" xr:uid="{8E160AE4-B3B3-4A05-8670-A878DBC4FF82}"/>
    <hyperlink ref="AO4" r:id="rId59" display="https://drive.google.com/drive/folders/1MB20Frf38x7zZOLkRJfpKMc8yJtU9Rkp?usp=sharing" xr:uid="{7F8517CC-B184-4586-BA4D-A49A32A19B06}"/>
    <hyperlink ref="AS4" r:id="rId60" display="https://drive.google.com/drive/folders/1C_0uCnR52auv6gr-sRo3vsRo8p9DO36y?usp=sharing" xr:uid="{451524C5-A549-4BE6-8295-72EB5F7F7B6C}"/>
    <hyperlink ref="AW4" r:id="rId61" display="https://drive.google.com/drive/folders/1IRap7d5czLDe-LaNt8vm1UblO8XaYgvo?usp=sharing" xr:uid="{184A6C75-5412-4E01-932C-9300EAC55971}"/>
    <hyperlink ref="BA4" r:id="rId62" display="https://drive.google.com/drive/folders/1UdwjaDFNBeSxAdgXY861hhB9QqC5xkzv?usp=sharing" xr:uid="{63E45BFE-71E5-47E4-BD35-9507874F8E2B}"/>
    <hyperlink ref="BE4" r:id="rId63" display="https://drive.google.com/drive/folders/1p8DMzcTC2msijiseU9gmZY_qOSFMQjNY?usp=sharing" xr:uid="{5CD6E17E-750D-40A9-8FA6-5EDFCA3AA920}"/>
    <hyperlink ref="BI4" r:id="rId64" display="https://drive.google.com/drive/folders/15Q6SRR2Eiw4oTgiOZIa5o1l81W91IWeT?usp=sharing" xr:uid="{8215528B-D38B-49C8-B4DB-0F62B423BC5E}"/>
    <hyperlink ref="BM4" r:id="rId65" display="https://drive.google.com/drive/folders/1F4Brwx6OUayoFYecLeWuXYYk4I19f63Q?usp=sharing" xr:uid="{34783E6E-77CC-4139-971D-8D451E773B5C}"/>
    <hyperlink ref="BQ4" r:id="rId66" display="https://drive.google.com/drive/folders/1e7Z12QBYk8XRuZoW-67tqQDCqZf_d_UY?usp=sharing" xr:uid="{D9F26449-F7C9-4DB9-859D-6552E631A9E0}"/>
    <hyperlink ref="BU4" r:id="rId67" display="https://drive.google.com/drive/folders/1hpgztaZQHyvT0GeFhpkFslMXmjC2VGb-?usp=sharing" xr:uid="{07F4D1C1-C3B9-446E-866F-19AE60FDC739}"/>
    <hyperlink ref="BY4" r:id="rId68" display="https://drive.google.com/drive/folders/1TfVl1jb0O6b9TI5h2jn2zIc2segEM6WQ?usp=sharing" xr:uid="{B7DF6C00-1C41-4372-B073-BF6CF01BF7AE}"/>
    <hyperlink ref="CC4" r:id="rId69" display="https://drive.google.com/drive/folders/1Zm98i2wBwUgqGrHMC9OZevalGQ4Hptb7?usp=sharing" xr:uid="{81A2BA96-0BE8-4E1B-88AC-C09192059341}"/>
    <hyperlink ref="CG4" r:id="rId70" display="https://drive.google.com/drive/folders/1vkzqx_LcxFrfDs5dYAFWfx8cKLPYUWGK?usp=sharing" xr:uid="{8949B9A0-41FA-4B0C-831A-236816315644}"/>
    <hyperlink ref="CK4" r:id="rId71" display="https://drive.google.com/drive/folders/1thU9lq3vls8YPb5gX680HsLA5N6UK6Y1?usp=sharing" xr:uid="{98069511-6FF1-4E14-9DCE-4ABD751A6324}"/>
    <hyperlink ref="CO4" r:id="rId72" display="https://drive.google.com/drive/folders/1pbBblzaQ9owFkSdj5GmzByDTDqtNFaXc?usp=sharing" xr:uid="{54EE5921-E550-4181-912F-2909BE5F246B}"/>
    <hyperlink ref="CS4" r:id="rId73" display="https://drive.google.com/drive/folders/1pbBblzaQ9owFkSdj5GmzByDTDqtNFaXc?usp=sharing" xr:uid="{9B1B1CD9-93FE-432C-BF17-DDAC89E9D028}"/>
    <hyperlink ref="CW4" r:id="rId74" display="https://drive.google.com/drive/folders/1TLhIhEIHoq7jve6bU0a_gTq8l8M4xU7r?usp=sharing" xr:uid="{20185667-2EF3-4D40-9FC3-C326878F5532}"/>
    <hyperlink ref="DA4" r:id="rId75" display="https://drive.google.com/drive/folders/1kPgZkS8_gAkTHxNpjPQ0g0beFdM5-BJc?usp=sharing" xr:uid="{F5846AA5-4DE3-4A52-9018-A06AFF186FB3}"/>
    <hyperlink ref="DE4" r:id="rId76" display="https://drive.google.com/drive/folders/1kPgZkS8_gAkTHxNpjPQ0g0beFdM5-BJc?usp=sharing" xr:uid="{5EBE5D0D-0C73-4B98-A793-1B65F72AEBED}"/>
    <hyperlink ref="DI4" r:id="rId77" display="https://drive.google.com/drive/folders/1kPgZkS8_gAkTHxNpjPQ0g0beFdM5-BJc?usp=sharing" xr:uid="{666555A1-A025-4E31-B8D0-139B830D8601}"/>
    <hyperlink ref="DM4" r:id="rId78" display="https://drive.google.com/drive/folders/107OYHPrlgnpWJwhuEV7pgtUPADJrI1rT?usp=sharing" xr:uid="{1DA8BB60-DD03-42D5-A7C3-4E520DD3EB5E}"/>
    <hyperlink ref="Q5" r:id="rId79" display="https://drive.google.com/drive/folders/1z3RLwb-6KsjkOmqlyR55VjpX66Xgcxaz?usp=sharing" xr:uid="{F7349549-B5B5-4B78-B593-71CB75A87C85}"/>
    <hyperlink ref="U5" r:id="rId80" display="https://drive.google.com/drive/folders/1cCAPzL53UGknJ27nbcKzT1raU36YFpZY?usp=sharing" xr:uid="{AC3AA4A5-A4FE-4BA3-B1FB-DA9CB0B7F889}"/>
    <hyperlink ref="Y5" r:id="rId81" display="https://drive.google.com/drive/folders/1QfrfjtvQzgJ9VAqlXN1j-12-r48rLXHT?usp=sharing" xr:uid="{6B6E0433-0741-4CF7-9B3A-3EB20DE2229F}"/>
    <hyperlink ref="AC5" r:id="rId82" display="https://drive.google.com/drive/folders/1yjfPk63fy68T65JPp1EF513fl5YJZJFb?usp=sharing" xr:uid="{3E85EF63-986A-4D89-A203-2F9A4F5B7BF9}"/>
    <hyperlink ref="AG5" r:id="rId83" display="https://drive.google.com/drive/folders/1N7ybnlrX0EsXYX2pTBTnALl_aGAjePNu?usp=sharing" xr:uid="{131BEB72-F3CC-4761-8663-C1E5B357CB14}"/>
    <hyperlink ref="AK5" r:id="rId84" display="https://drive.google.com/drive/folders/1mKCyUQWxZF2GTrTC1qt7iTyj-SfNJgmD?usp=sharing" xr:uid="{08F0C734-81AB-4A98-B930-38D1F93A048D}"/>
    <hyperlink ref="AO5" r:id="rId85" display="https://drive.google.com/drive/folders/194IWfhMeJSDqm77ZUKPh1d3vMrH16Bfn?usp=sharing" xr:uid="{E8DB4221-9300-4291-A0FA-947697D066A0}"/>
    <hyperlink ref="AS5" r:id="rId86" display="https://drive.google.com/drive/folders/1tC6DaTRHTxAPMaLYDz0ll8Y91Y9Xw0Z-?usp=sharing" xr:uid="{D3CF57AB-30AF-42FF-8DBD-209F1D6995B8}"/>
    <hyperlink ref="AW5" r:id="rId87" display="https://drive.google.com/drive/folders/1KMEbvCIsvh792cA2abJ91cbEIEXlUm0J?usp=sharing" xr:uid="{CF069A28-7555-4562-BBBA-8091A60CD116}"/>
    <hyperlink ref="BA5" r:id="rId88" display="https://drive.google.com/drive/folders/1leREXCukjxSLf9BZo5_YDbiRfuNt4r05?usp=sharing" xr:uid="{80977C5A-CE86-4AAD-8021-53069DCD7B1D}"/>
    <hyperlink ref="BE5" r:id="rId89" display="https://drive.google.com/drive/folders/1pJBZKFyth4CBQLiG0zzjcfPvISouFZNV?usp=sharing" xr:uid="{D9CD6D02-BF84-4E6F-A93D-912F54B62227}"/>
    <hyperlink ref="BI5" r:id="rId90" display="https://drive.google.com/drive/folders/1OErLY1LHw55hfFWbTNssnj1WR5Gj4PbN?usp=sharing" xr:uid="{8ADE5244-570E-42DE-8302-5769FFD76B2D}"/>
    <hyperlink ref="BM5" r:id="rId91" display="https://drive.google.com/drive/folders/1VJzPcpMAe0IFfXmwl90kfjGkG0qribY-?usp=sharing" xr:uid="{B7C3822A-7A25-4E0C-BF46-997721599DE5}"/>
    <hyperlink ref="BQ5" r:id="rId92" display="https://drive.google.com/drive/folders/1neXiNgpjIJ5fEUsUxoicofR8dkPsBa_u?usp=sharing" xr:uid="{DE055DDE-8DA8-4C7D-BA9A-57D698409CAB}"/>
    <hyperlink ref="BU5" r:id="rId93" display="https://drive.google.com/drive/folders/1_eLszTFtJ2TwyEDsLdPipLBo3sQCiIK_?usp=sharing" xr:uid="{31E1A7E6-356E-412A-AA16-ED20FB599480}"/>
    <hyperlink ref="BY5" r:id="rId94" display="https://drive.google.com/drive/folders/1MYCudkZlH_strcLrhBkWPaRNLGFkngwU?usp=sharing" xr:uid="{853528AC-249C-4258-98FE-744DBECA4981}"/>
    <hyperlink ref="CC5" r:id="rId95" display="https://drive.google.com/drive/folders/1zjPPMcDwA5C0zSUddEJyMjiN7x65Deqc?usp=sharing" xr:uid="{6DF04B73-2429-4488-AB23-69D05B09559D}"/>
    <hyperlink ref="CG5" r:id="rId96" display="https://drive.google.com/drive/folders/1sSfdjqcA6vGMnqj5FGHRyU3gsJ2YAvUZ?usp=sharing" xr:uid="{32659289-9357-4E8A-A1F2-B541D2B5D839}"/>
    <hyperlink ref="CK5" r:id="rId97" display="https://drive.google.com/drive/folders/1nwY5Qq3FWdmSLzfDSRXW02awRh3mZ9Rb?usp=sharing" xr:uid="{6867468B-F8D2-4568-BDC0-3895E534BE36}"/>
    <hyperlink ref="CW5" r:id="rId98" display="https://drive.google.com/drive/folders/1Swm-n_4sm0XjgD0lgydAjDFb5aOw2yEc?usp=sharing" xr:uid="{A05BB36A-FD45-4082-BCBF-AAFB9AA369D6}"/>
    <hyperlink ref="DA5" r:id="rId99" display="https://drive.google.com/drive/folders/1M_kAMKM9QyPQRa-CL2mISR8yaz5ZgEjg?usp=sharing" xr:uid="{5BDF12D2-26E7-413C-8400-10A621945995}"/>
    <hyperlink ref="DE5" r:id="rId100" display="https://drive.google.com/drive/folders/1n_eGf5OxeMqSPqt5EGkfOqBDpWm11HFO?usp=sharing" xr:uid="{F9385A64-61D1-4B2C-B387-24891E1F9FDB}"/>
    <hyperlink ref="DI5" r:id="rId101" display="https://drive.google.com/drive/folders/1byRrKg_mgaTNzlHR84dsGlLvl1fggpQa?usp=sharing" xr:uid="{F2CD1145-8493-4639-A005-082EE996A4F8}"/>
    <hyperlink ref="DM5" r:id="rId102" display="https://drive.google.com/drive/folders/1YFyScgdidSVXlcN5LUdlS39fxZBk9FuC?usp=sharing" xr:uid="{66FA3FA3-96AE-4DB8-8B7E-71B564FF1AC5}"/>
    <hyperlink ref="Q6" r:id="rId103" display="https://drive.google.com/drive/folders/1TRvVQtnkUM-k9KZGVzhuuiIyy8iqtYc4?usp=sharing" xr:uid="{268D8D45-0260-4542-9419-607F8773B9F1}"/>
    <hyperlink ref="U6" r:id="rId104" display="https://drive.google.com/drive/folders/1nDZEZAGdFN66kH76HXkH7R9N8QwTi-GX?usp=sharing" xr:uid="{A0BB7655-9827-4181-B1C3-7F8B723264FE}"/>
    <hyperlink ref="Y6" r:id="rId105" display="https://drive.google.com/drive/folders/114sC0N0Wa-0JQMgHbPDcl7nW86g7NO0g?usp=sharing" xr:uid="{C228108C-BE1D-4C35-AD1B-2FBC958FAAD9}"/>
    <hyperlink ref="AC6" r:id="rId106" display="https://drive.google.com/drive/folders/1DbtY4UN8hCvoLrCeqf4BsqpnzKWaVSTr?usp=sharing" xr:uid="{0784137F-647B-4CB2-942C-993CE2FB8932}"/>
    <hyperlink ref="AG6" r:id="rId107" display="https://drive.google.com/drive/folders/17hLIYjIhiysIZGdkiBXPS36x4Grb0WSB?usp=sharing" xr:uid="{814349B8-415C-4706-B8EE-5C382081BE1A}"/>
    <hyperlink ref="AK6" r:id="rId108" display="https://drive.google.com/drive/folders/18bKI7T92-snCffVS1STRSgQaToc5TAi2?usp=sharing" xr:uid="{1AE3B68E-A889-46E0-9494-5440C4B30EFD}"/>
    <hyperlink ref="AO6" r:id="rId109" display="https://drive.google.com/drive/folders/1Rgge9xesRfP7o5MCpYMwWAs877bZzuYu?usp=sharing" xr:uid="{FB3323F7-6845-4E25-A5C6-1BBB2770CA7A}"/>
    <hyperlink ref="AS6" r:id="rId110" display="https://drive.google.com/drive/folders/1Rgge9xesRfP7o5MCpYMwWAs877bZzuYu?usp=sharing" xr:uid="{CBA1C887-6F8B-431E-B08F-EC4553449A8D}"/>
    <hyperlink ref="AW6" r:id="rId111" display="https://drive.google.com/drive/folders/1JSDZ47CerA19LeEGG1FvLMxT58LjASBp?usp=sharing" xr:uid="{9EB44E20-99C4-4DF0-A9EB-A217034EF8E2}"/>
    <hyperlink ref="BA6" r:id="rId112" display="https://drive.google.com/drive/folders/11rH-SthpRl4IMRq37Wm4teAmI2TlezSS?usp=sharing" xr:uid="{1DD25AC7-AD6A-4AA5-A602-B1BBF8D2B37A}"/>
    <hyperlink ref="BE6" r:id="rId113" display="https://drive.google.com/drive/folders/11rH-SthpRl4IMRq37Wm4teAmI2TlezSS?usp=sharing" xr:uid="{5406AD7C-FAC0-4477-9B5F-2A91528AD54B}"/>
    <hyperlink ref="BI6" r:id="rId114" display="https://drive.google.com/drive/folders/15wdTEJqH0e_lLCW_ANtgNCCnIXSFQlSM?usp=sharing" xr:uid="{36015C0A-9D85-45C5-98D5-B943CF7BE381}"/>
    <hyperlink ref="BM6" r:id="rId115" display="https://drive.google.com/drive/folders/1nFFGpQUVDYg7DxmczNeIoAIB4yT-Z39p?usp=sharing" xr:uid="{1B176BD4-FC70-42E4-B16A-6CE71014EF43}"/>
    <hyperlink ref="BQ6" r:id="rId116" display="https://drive.google.com/drive/folders/1nFFGpQUVDYg7DxmczNeIoAIB4yT-Z39p?usp=sharing" xr:uid="{A050B48D-EFDE-4669-BF62-61DDD37E2DB9}"/>
    <hyperlink ref="BU6" r:id="rId117" display="https://drive.google.com/drive/folders/1w5YebTA4H51IlHugVD8jZF_dijkFFV9C?usp=sharing" xr:uid="{DE2E9A7C-5484-4625-AA1B-F31377892124}"/>
    <hyperlink ref="BY6" r:id="rId118" display="https://drive.google.com/drive/folders/1h-8QmRj-i6PxTyLXB2kTzMF-M9AG7Th6?usp=sharing" xr:uid="{CD4BB4CD-F0D5-42E5-9B0E-3A681F3500E0}"/>
    <hyperlink ref="CC6" r:id="rId119" display="https://drive.google.com/drive/folders/1h-8QmRj-i6PxTyLXB2kTzMF-M9AG7Th6?usp=sharing" xr:uid="{B49B310D-45C8-4085-8F6B-886631D12495}"/>
    <hyperlink ref="CG6" r:id="rId120" display="https://drive.google.com/drive/folders/1rWIjNa_FbtEwb3ZuganhL_cS-oi0iGZI?usp=sharing" xr:uid="{8455CA2C-4270-4B83-9AD7-7FF695ADD0B4}"/>
    <hyperlink ref="CK6" r:id="rId121" display="https://drive.google.com/drive/folders/1K0PsdJ3GaFJUx44fksOkZIa-kEsA_KrB?usp=sharing" xr:uid="{924896F1-D86C-4098-98EC-02661281A88E}"/>
    <hyperlink ref="CO6" r:id="rId122" display="https://drive.google.com/drive/folders/1NKt2LDl9eeKzkPu5DAAbWu0NB0h8L6wt?usp=sharing" xr:uid="{DED3928A-1224-4F93-AF10-0608AE3A4FC2}"/>
    <hyperlink ref="CS6" r:id="rId123" display="https://drive.google.com/drive/folders/18yUHX1zw812nXaV5JQ9GqCm3MtOKlvXc?usp=sharing" xr:uid="{3FF0AA8B-90F3-47C4-8BD8-345F5A145240}"/>
    <hyperlink ref="CW6" r:id="rId124" display="https://drive.google.com/drive/folders/1VOn883euysuC5WTGkrGmpOfWm1DEA0a5?usp=sharing" xr:uid="{0CF90069-958E-4E21-82FC-7513AAA36C8E}"/>
    <hyperlink ref="DA6" r:id="rId125" display="https://drive.google.com/drive/folders/1K62oOJEJcJuAdGxxx-3iWNtNELTQpIzT?usp=sharing" xr:uid="{7F45D8A6-8169-4814-B1CE-CF782E22E920}"/>
    <hyperlink ref="DE6" r:id="rId126" display="https://drive.google.com/drive/folders/14ZnliumyxiswOjnjYRhVF0Eb85-qNeLC?usp=sharing" xr:uid="{6929B98F-FCB9-4200-A4CD-93E62DEBF999}"/>
    <hyperlink ref="DI6" r:id="rId127" display="https://drive.google.com/drive/folders/1QTpN1SG7COhy70hNCNiXiRm8RmZ1CUur?usp=sharing" xr:uid="{C043788D-5B9B-430E-B836-4580F6F92A51}"/>
    <hyperlink ref="DM6" r:id="rId128" display="https://drive.google.com/drive/folders/1zvIAF2otwWyjv_nNVzW9oTq9ZTGy_8-W?usp=sharing" xr:uid="{B7AB87E9-B083-4EEF-AF5D-D5B6B691EC25}"/>
    <hyperlink ref="Q7" r:id="rId129" display="https://drive.google.com/drive/folders/1kgFuRpvaGI26W4TraW2tyCR7DSeu7fVT?usp=sharing" xr:uid="{C00B9E19-26AE-41D1-B636-A0BE0DEF3652}"/>
    <hyperlink ref="U7" r:id="rId130" display="https://drive.google.com/drive/folders/1s0Qp4qihzc03-ax92Kh3Q3am73l2CIFy?usp=sharing" xr:uid="{DD7C78FC-3510-4377-A674-983ADCEA6050}"/>
    <hyperlink ref="Y7" r:id="rId131" display="https://drive.google.com/drive/folders/1S4NcS07W2Vt-_1BYs-mIGH_D1Y-mAk0j?usp=sharing" xr:uid="{613BA6CB-0A8F-432A-8FCA-248935536A04}"/>
    <hyperlink ref="AC7" r:id="rId132" display="https://drive.google.com/drive/folders/1LjzTbnT_5_QVcjtZXWoN4DBmw0rFriii?usp=sharing" xr:uid="{9E810CF6-7978-4BFC-824B-FA44F6365194}"/>
    <hyperlink ref="AG7" r:id="rId133" display="https://drive.google.com/drive/folders/1XQmMaCGbopr8_p5tSDWcZv6VAu2mzSAP?usp=sharing" xr:uid="{5FBCD3E0-133F-4027-AAEE-55991A24292B}"/>
    <hyperlink ref="AK7" r:id="rId134" display="https://drive.google.com/drive/folders/1prOMMGbcsW8OGpMfZLDrZPkwUzStMcuC?usp=sharing" xr:uid="{E8E39F1B-432F-478F-94D4-B7BC7758EE10}"/>
    <hyperlink ref="AO7" r:id="rId135" display="https://drive.google.com/drive/folders/1rm8CupoA7dpYV0D68sfKScJdGzx3F2NB?usp=sharing" xr:uid="{0AD2A07E-F6A0-48EF-8C48-E6FB784C938A}"/>
    <hyperlink ref="AS7" r:id="rId136" display="https://drive.google.com/drive/folders/1GKH7K_DLfpLrVfD63ujy4LRwlJDUvTFh?usp=sharing" xr:uid="{0B1CB817-DC28-4D3F-A79F-DE474B45A842}"/>
    <hyperlink ref="AW7" r:id="rId137" display="https://drive.google.com/drive/folders/19sLgUR48ztTN3jWDEYdWqIOpub5WLVaT?usp=sharing" xr:uid="{4D85BCCA-9B7E-4B8F-A9A8-F0C84C3256DC}"/>
    <hyperlink ref="BA7" r:id="rId138" display="https://drive.google.com/drive/folders/1lRAq2f2mHqL6RFUQlS92K56WrNvAG1v2?usp=sharing" xr:uid="{2AD5B44A-0C0C-405F-B51E-7656E9B086BF}"/>
    <hyperlink ref="BE7" r:id="rId139" display="https://drive.google.com/drive/folders/19m4PDLshA-bb_SASnxNNAc2WmvZ-zMqH?usp=sharing" xr:uid="{C929ADA7-6369-4B91-9510-D2B25D1EFA76}"/>
    <hyperlink ref="BI7" r:id="rId140" display="https://drive.google.com/drive/folders/1h6tBeHwo3KNR79PnhAvjk6cX90FlQTyS?usp=sharing" xr:uid="{9DF178DC-5979-447E-B26E-776B3976295C}"/>
    <hyperlink ref="BM7" r:id="rId141" display="https://drive.google.com/drive/folders/1szprtdp1jo0W3s_K-q3HP055aWqPIyez?usp=sharing" xr:uid="{F553E221-E53B-4CC0-9239-523E66E13D65}"/>
    <hyperlink ref="BQ7" r:id="rId142" display="https://drive.google.com/drive/folders/1xFcNr0il4B2SoZKYN48rNbNy-rzxZ01q?usp=sharing" xr:uid="{0AA5CF0B-AACF-455C-98B3-68805BEE9E28}"/>
    <hyperlink ref="BU7" r:id="rId143" display="https://drive.google.com/drive/folders/1Hqw9WEJsqb8FoG2fB_dXlWSvoG3zfV0G?usp=sharing" xr:uid="{51384C7D-9F27-4577-9C7E-FFF4CDE3A609}"/>
    <hyperlink ref="BY7" r:id="rId144" display="https://drive.google.com/drive/folders/1cxh3h4XNDsvsRf056tDhQKCZayGtCzZz?usp=sharing" xr:uid="{4A7ADE3A-89AC-4F4C-BD8B-C86C5E8D5C4F}"/>
    <hyperlink ref="CC7" r:id="rId145" display="https://drive.google.com/drive/folders/1KwEn-okYB520TFj27G1VHbXc3hneTzjI?usp=sharing" xr:uid="{0683931C-F8C5-492E-863D-7F27B39F4D9D}"/>
    <hyperlink ref="CG7" r:id="rId146" display="https://drive.google.com/drive/folders/17vMn7pyLj7ESwq5JomFjhpP5a49TIUmh?usp=sharing" xr:uid="{92A0FA76-A597-466D-B59A-6803DEBFA445}"/>
    <hyperlink ref="CK7" r:id="rId147" display="https://drive.google.com/drive/folders/1o5d1D_ZvAoTLeb5uT5HuSA0x_SDWyn6P?usp=sharing" xr:uid="{96804B01-67B2-4C2C-BD00-209B029768F9}"/>
    <hyperlink ref="CO7" r:id="rId148" display="https://drive.google.com/drive/folders/1MemB7QwOAUJxbKK72b3pzH0qjgVFe1sC?usp=sharing" xr:uid="{7B362EC5-FD3A-4703-B66C-74A581B61CBD}"/>
    <hyperlink ref="CS7" r:id="rId149" display="https://drive.google.com/drive/folders/1JvbCQDwgEo8tVv-Iap-bP0-y_PHlQf8U?usp=sharing" xr:uid="{5EBF91A9-CC4A-474B-8123-A353638326D8}"/>
    <hyperlink ref="CW7" r:id="rId150" display="https://drive.google.com/drive/folders/1L95dfeo4-Ct0U8J4hPCqrMzJhpeV2cey?usp=sharing" xr:uid="{4EB63374-F224-4A67-97A7-576940C3FC9D}"/>
    <hyperlink ref="DA7" r:id="rId151" display="https://drive.google.com/drive/folders/1QM9AUz_a1wwLzpNmd_sB6lB0WIZsMGHW?usp=sharing" xr:uid="{62E73ADD-A7EE-4CB2-8307-1306196D43AC}"/>
    <hyperlink ref="DE7" r:id="rId152" display="https://drive.google.com/drive/folders/1VxDyPBDuD2I9ChXkfZc_O2QZZu16IZJk?usp=sharing" xr:uid="{4CEB4CD8-D8E5-40A7-8EE0-6EC68F9A8080}"/>
    <hyperlink ref="DI7" r:id="rId153" display="https://drive.google.com/drive/folders/1QBn-C2CTKKVQFOSVKlPs2VHtB-DJVS6Y?usp=sharing" xr:uid="{7FB9211A-EB17-4F7F-AAA8-2113A636C2A5}"/>
    <hyperlink ref="DM7" r:id="rId154" display="https://drive.google.com/drive/folders/17IA8_SaFduOR3O9WClcZHwai3AOm26Vn?usp=sharing" xr:uid="{261E21D9-3E04-4E18-B115-D9185208591A}"/>
    <hyperlink ref="Q8" r:id="rId155" display="https://drive.google.com/drive/folders/1KNBqctxwaw7UmF5AWQXomSnlNmWd-N-_?usp=sharing" xr:uid="{5608C6B3-04E0-42FD-8A64-F1EBD66CAC36}"/>
    <hyperlink ref="U8" r:id="rId156" display="https://drive.google.com/drive/folders/1ZKrq8wV8SO9K_Za7TIIGBYK1yOO5Ihbg?usp=sharing" xr:uid="{796F8656-18D6-40FC-A174-798EE55E924A}"/>
    <hyperlink ref="Y8" r:id="rId157" display="https://drive.google.com/drive/folders/1oySzy-Kxec0j-LNwygv0qfWC9ktoujnx?usp=sharing" xr:uid="{CA35852A-7E3D-41DC-A219-8EB618997B01}"/>
    <hyperlink ref="AC8" r:id="rId158" display="https://drive.google.com/drive/folders/1V5fSPzCIphp-muZUgmygz9vfu6uKHroq?usp=sharing" xr:uid="{A0C41C69-4A27-4828-98D3-5899102F5A48}"/>
    <hyperlink ref="AG8" r:id="rId159" display="https://drive.google.com/drive/folders/1bldTX6KNhHFukSRDLsZwM5XDyWCY-W2s?usp=sharing" xr:uid="{FD129A67-A760-46A9-A0E0-4FAA5261CF08}"/>
    <hyperlink ref="AK8" r:id="rId160" display="https://drive.google.com/drive/folders/1pEh7jnI1n7B7I8iAFDBbS9pb-q6xlcPb?usp=sharing" xr:uid="{97225312-80E5-484A-BB5A-214788AA118E}"/>
    <hyperlink ref="AO8" r:id="rId161" display="https://drive.google.com/drive/folders/1orqivd-rVT6dqql0xkZ3ZwospBHsjsLB?usp=sharing" xr:uid="{F5991C39-56BE-4EC4-B976-FB32DE57C5C6}"/>
    <hyperlink ref="AS8" r:id="rId162" display="https://drive.google.com/drive/folders/1pIdJ0fqmEowBKav9eh-YApSopV94Vcu_?usp=sharing" xr:uid="{166052BB-E781-419F-8B2D-17E68AAD46C0}"/>
    <hyperlink ref="BE8" r:id="rId163" display="https://drive.google.com/drive/folders/1ar5K-RVuLxpmfe9C9fFHngmZG-L7U1wG?usp=sharing" xr:uid="{33E4446E-7F71-49A9-A727-9F11E1CE1920}"/>
    <hyperlink ref="BI8" r:id="rId164" display="https://drive.google.com/drive/folders/1YHpUtMKGwvKp0_54IMgaaEQAnsQgmocM?usp=sharing" xr:uid="{7E9D5BAB-A2D3-41FF-9020-DDC3BAB77F04}"/>
    <hyperlink ref="BM8" r:id="rId165" display="https://drive.google.com/drive/folders/1Voz1ET8amuSNsjI-u8zarBNK5j4QjXun?usp=sharing" xr:uid="{065BC683-7F00-4850-A1C4-204F9E549D54}"/>
    <hyperlink ref="BQ8" r:id="rId166" display="https://drive.google.com/drive/folders/1UB5XXu5vDa8bczVBaaKOQhRglrf70cgm?usp=sharing" xr:uid="{45DBF6D2-5D7A-434C-BF86-20655629567E}"/>
    <hyperlink ref="BU8" r:id="rId167" display="https://drive.google.com/drive/folders/1UJneOeZdD1MKjf3P2oee-7-rM9a_yPMG?usp=sharing" xr:uid="{A1DD55F8-8EDA-42C4-A120-9CDC23201A1F}"/>
    <hyperlink ref="BY8" r:id="rId168" display="https://drive.google.com/drive/folders/1-gF18jq1PC_DVR0rJ8B4MhKeEkJHATV1?usp=sharing" xr:uid="{AD3FCEF2-7BF2-4536-A2F6-3E54D1EC0B95}"/>
    <hyperlink ref="CC8" r:id="rId169" display="https://drive.google.com/drive/folders/1Yo63umgdVW02dFNt8kFwCkDkm16Tjvn-?usp=sharing" xr:uid="{F8EE18B0-C239-464A-BF19-FA959D923641}"/>
    <hyperlink ref="CW8" r:id="rId170" display="https://drive.google.com/drive/folders/13cpF5rfWk-aaUvDR0b_PY5b2ahB9d6CY?usp=sharing" xr:uid="{1A482B68-930C-4395-ADAA-BD8A00FBA10F}"/>
    <hyperlink ref="DA8" r:id="rId171" display="https://drive.google.com/drive/folders/1Le16wiSHdemEi82DTGBe-PwtAXaEtDU6?usp=sharing" xr:uid="{7E9BD7FD-DE90-4BE7-97D7-FFCA397712EE}"/>
    <hyperlink ref="DE8" r:id="rId172" display="https://drive.google.com/drive/folders/178LrSGVodNWwev6SIUnVRDhcxOHJX5w8?usp=sharing" xr:uid="{02FB623D-C46A-43ED-8B73-16D742EB251F}"/>
    <hyperlink ref="DI8" r:id="rId173" display="https://drive.google.com/drive/folders/1qQZGM1yEaMPmVbWAJNHuEcRPo3ARJdBy?usp=sharing" xr:uid="{ECA723F7-1E78-4D8C-AD49-D2E8FF01CCCE}"/>
    <hyperlink ref="DM8" r:id="rId174" display="https://drive.google.com/drive/folders/1LRRV8cOWgA9-1qXNVGwFU53ICMLgu_MF?usp=sharing" xr:uid="{E38E3B3A-AE51-48BD-A961-C36EA2A91F69}"/>
    <hyperlink ref="Q9" r:id="rId175" display="https://drive.google.com/drive/folders/10C7q6M7ucJS-Dh3nU07Agd0fAUPy9jjb?usp=sharing" xr:uid="{57B485D1-A747-4720-BB56-0A97A13DC099}"/>
    <hyperlink ref="U9" r:id="rId176" display="https://drive.google.com/drive/folders/1Yw07WFkoLPkmhUgFQHv9vgo0ow9dWyDJ?usp=sharing" xr:uid="{99BE5C81-9E65-46F3-9A97-42F64A9D2CE9}"/>
    <hyperlink ref="Y9" r:id="rId177" display="https://drive.google.com/drive/folders/1UiCCCN759mQJc6ItSl0WphSApTkHCTOA?usp=sharing" xr:uid="{121E64CD-8303-40CD-8B1C-89C076C83692}"/>
    <hyperlink ref="AC9" r:id="rId178" display="https://drive.google.com/drive/folders/14DrAL0KYxQ5AxS81Odbu3Xixkwa3ZUXB?usp=sharing" xr:uid="{7261893F-19CB-4718-BAB1-76FDDFE94355}"/>
    <hyperlink ref="AG9" r:id="rId179" display="https://drive.google.com/drive/folders/14DrAL0KYxQ5AxS81Odbu3Xixkwa3ZUXB?usp=sharing" xr:uid="{40441E16-A25D-48E8-B3EE-58C03D949F6F}"/>
    <hyperlink ref="AK9" r:id="rId180" display="https://drive.google.com/drive/folders/1eiSixBhEg4wkhQ9rsI-6UYcN6eiOxqy-?usp=sharing" xr:uid="{A381564E-A305-4EDB-9F79-BADE4E232B24}"/>
    <hyperlink ref="AO9" r:id="rId181" display="https://drive.google.com/drive/folders/1RO9rdAMt-7Avr8AoPnhPXQSE3aQte8cE?usp=sharing" xr:uid="{6C08F71E-AA1B-49EF-9A95-16D2969F0EC1}"/>
    <hyperlink ref="AS9" r:id="rId182" display="https://drive.google.com/drive/folders/1RO9rdAMt-7Avr8AoPnhPXQSE3aQte8cE?usp=sharing" xr:uid="{254E9BF0-B73B-4FDD-BCD2-3E47DEA129F4}"/>
    <hyperlink ref="AW9" r:id="rId183" display="https://drive.google.com/drive/folders/1Pd3P6VbzMbr8_N1iB7Gx8XI8yBwgvixZ?usp=sharing" xr:uid="{921F1092-ABA6-4269-83DA-E0D2F0A900E6}"/>
    <hyperlink ref="BA9" r:id="rId184" display="https://drive.google.com/drive/folders/1EvsaG_fozppXuOWx2OVBme41K8CjY-7j?usp=sharing" xr:uid="{64F5E18F-A398-4DD2-83E9-9312CA51D7E8}"/>
    <hyperlink ref="BI9" r:id="rId185" display="https://drive.google.com/drive/folders/1u-nkU4nz4EZvJangtRheJ4ClIaNqeJni?usp=sharing" xr:uid="{DA3CDC42-5D44-450D-B388-4EB4E40FE5F5}"/>
    <hyperlink ref="BM9" r:id="rId186" display="https://drive.google.com/drive/folders/1cO_9ptZNa7gNeD-sCxnPFuR283WBJecO?usp=sharing" xr:uid="{B4D8F788-1C0E-43D4-81A2-487A74468715}"/>
    <hyperlink ref="CC9" r:id="rId187" display="https://drive.google.com/drive/folders/1ezlgTZ1c4zVUOIN2kODJeCmWdNk78ix9?usp=sharing" xr:uid="{1D8E61B2-76BE-4F41-AE54-85F228797019}"/>
    <hyperlink ref="CG9" r:id="rId188" display="https://drive.google.com/drive/folders/14bh07s4serEYzMk3I0r2zBG_BMy9dsY7?usp=sharing" xr:uid="{D82805F8-CE48-4511-A146-CF1C0479D97D}"/>
    <hyperlink ref="CK9" r:id="rId189" display="https://drive.google.com/drive/folders/16S3KjY34a9nro9iPRB_13N2IXBtnRj44?usp=sharing" xr:uid="{5D41718E-E754-4D5A-A17C-021A749C3CF0}"/>
    <hyperlink ref="CO9" r:id="rId190" display="https://drive.google.com/drive/folders/1GlTjQffr6Zxum8ia8I3579-DNZOMm9Zs?usp=sharing" xr:uid="{66696049-AFA5-439E-91A0-9C5F37B66384}"/>
    <hyperlink ref="CS9" r:id="rId191" display="https://drive.google.com/drive/folders/1rkdI9l_M0W5U4Eoc6oB4ArJbGzrstagb?usp=sharing" xr:uid="{3101269F-4BA1-4966-8A27-C1B3E51C8EAA}"/>
    <hyperlink ref="CW9" r:id="rId192" display="https://drive.google.com/drive/folders/1QRsy27oQwkM76oo8AhiAMiA-8v0IrqUd?usp=sharing" xr:uid="{4652AE88-4C85-4B85-BA43-43132B9D0008}"/>
    <hyperlink ref="DA9" r:id="rId193" display="https://drive.google.com/drive/folders/1QRsy27oQwkM76oo8AhiAMiA-8v0IrqUd?usp=sharing" xr:uid="{4B922FAB-C582-485A-972E-CCCC40D58410}"/>
    <hyperlink ref="DE9" r:id="rId194" display="https://drive.google.com/drive/folders/1VaBgSezKUuMdNeX25b53PESysxJEXZ88?usp=sharing" xr:uid="{8A9D8F6C-8BC8-4415-8F26-65173460F2AF}"/>
    <hyperlink ref="DI9" r:id="rId195" display="https://drive.google.com/drive/folders/17f5X_9U59hRWP0PnpQdeQbXEUNCG3dyd?usp=sharing" xr:uid="{4ECE5683-1639-4639-A99C-D197DF57DA0C}"/>
    <hyperlink ref="Q10" r:id="rId196" display="https://drive.google.com/drive/folders/1M5bVKaXRRZAMAeqR7Lc53ZeZGoMDwhmy?usp=sharing" xr:uid="{30D61F51-2D0A-4D38-817C-0838E78A6DD6}"/>
    <hyperlink ref="U10" r:id="rId197" display="https://drive.google.com/drive/folders/1agvFM1DY96rRHNJgKlR17Ll6-wHF2A4f?usp=sharing" xr:uid="{36FA3EF1-3B90-4729-A8C4-40E98EF46750}"/>
    <hyperlink ref="Y10" r:id="rId198" display="https://drive.google.com/drive/folders/1KFlKbIOipWmnh1JL03Gcg8nAbYwP8Pvz?usp=sharing" xr:uid="{D33AEF04-4B5B-4DE7-A7CA-E0D8D82553BD}"/>
    <hyperlink ref="AC10" r:id="rId199" display="https://drive.google.com/drive/folders/11xBAZrWIa1aZ6K1lCdX01re-tOo-w_8O?usp=sharing" xr:uid="{70DF2306-85BC-476D-A4F9-3B4C444CFFA3}"/>
    <hyperlink ref="AG10" r:id="rId200" display="https://drive.google.com/drive/folders/1iRkqR5NMfv0gcZ4EfYohR5ky7NXBEbOx?usp=sharing" xr:uid="{54A19D32-C979-46BC-84BE-71D1AEAFF307}"/>
    <hyperlink ref="AK10" r:id="rId201" display="https://drive.google.com/drive/folders/1Ti74irxn5VTKXKRtlE61Q1zkR6GiMtkn?usp=sharing" xr:uid="{94EBC3DF-F0D9-4528-810A-45CA9C91BA67}"/>
    <hyperlink ref="AO10" r:id="rId202" display="https://drive.google.com/drive/folders/1TYGh_rzxPkHQUDWgx01UAyUxXuX3QZ8X?usp=sharing" xr:uid="{A56A3886-34C0-4BCC-824E-73034DFDA0B8}"/>
    <hyperlink ref="AS10" r:id="rId203" display="https://drive.google.com/drive/folders/1jFYEFHYa7kojwV7vwcWJbs9uwu3gYVb9?usp=sharing" xr:uid="{27553C24-07A7-4B0B-80DB-BBC6B4D66D86}"/>
    <hyperlink ref="AW10" r:id="rId204" display="https://drive.google.com/drive/folders/1BsOjjjLEua1vlg_R0NAayxnBYdPYUwB1?usp=sharing" xr:uid="{569E736B-12AB-4906-8483-D93198310381}"/>
    <hyperlink ref="BA10" r:id="rId205" display="https://drive.google.com/drive/folders/14APw6MUkiC58FolMDNypgy5-cGl1bH9Y?usp=sharing" xr:uid="{2AE92141-FED1-4980-A8F8-F677D55657AF}"/>
    <hyperlink ref="BE10" r:id="rId206" display="https://drive.google.com/drive/folders/19ZBHz7wbxlgXJqiY_Lg0lOIXVFchJmp_?usp=sharing" xr:uid="{0171B70A-CC83-4001-9249-76DF072B0BC7}"/>
    <hyperlink ref="BI10" r:id="rId207" display="https://drive.google.com/drive/folders/1uFzRiik9MhahbKHjawQv_8qX850Iief1?usp=sharing" xr:uid="{6BC7B766-1297-4B6F-BDBB-68FFF1EEEA97}"/>
    <hyperlink ref="BM10" r:id="rId208" display="https://drive.google.com/drive/folders/1l9abxYlZYOeaqpoRKguEt6-65azmlp1_?usp=sharing" xr:uid="{F81CBBCB-1AB8-4484-9AF6-8341B3AFBCB3}"/>
    <hyperlink ref="CC10" r:id="rId209" display="https://drive.google.com/drive/folders/1Nz8wC7LIdMbCK-070o0IfcDWdrkY-GXZ?usp=sharing" xr:uid="{B428A940-102C-4ACB-9075-AE91865FE93D}"/>
    <hyperlink ref="CG10" r:id="rId210" display="https://drive.google.com/drive/folders/1C736LiPL77c8aArJyETwwM9ZH8j77obQ?usp=sharing" xr:uid="{8BEA7960-21A7-4D04-AE48-3D034B5C9096}"/>
    <hyperlink ref="CK10" r:id="rId211" display="https://drive.google.com/drive/folders/1p81-FDlxwcv3zoE9DnCaArshxZD88Fjr?usp=sharing" xr:uid="{11E4EBBB-2DB1-42E8-AF8E-F5DD41C70FD3}"/>
    <hyperlink ref="CO10" r:id="rId212" display="https://drive.google.com/drive/folders/18TwXFCE8L6bL5UotS7a0ZZBkRZy_MdgL?usp=sharing" xr:uid="{4B225C6D-3FBC-4211-900C-2D08DD758622}"/>
    <hyperlink ref="CS10" r:id="rId213" display="https://drive.google.com/drive/folders/1U81DH8qjs5LTm3SaJtDmj13nnBJAx5YT?usp=sharing" xr:uid="{8F928490-CC65-44D0-BE22-E3C358DAD701}"/>
    <hyperlink ref="CW10" r:id="rId214" display="https://drive.google.com/drive/folders/1W27t1AcIJdd7YvNxGCEeP5L3kTRd55bp?usp=sharing" xr:uid="{C4C00021-EC0A-40D6-B82B-0BF7E4FD465A}"/>
    <hyperlink ref="DA10" r:id="rId215" display="https://drive.google.com/drive/folders/12vJRRhbaoW5fqLKViD9tHRy6XYzK9Aup?usp=sharing" xr:uid="{70333AD6-96B9-4D2A-83C7-088F2D1858D2}"/>
    <hyperlink ref="DE10" r:id="rId216" display="https://drive.google.com/drive/folders/1JYe4CdDiYVwXB1iI7mrhlwOE9vy9rudf?usp=sharing" xr:uid="{217F5E4C-3332-4033-8E6B-ADCFDDDBEC85}"/>
    <hyperlink ref="DI10" r:id="rId217" display="https://drive.google.com/drive/folders/1Hfcz1poicnEhZmBzrlFGEQzCCL83j2Iq?usp=sharing" xr:uid="{C4135237-A8B6-4EBD-BFB0-52E3795C34F8}"/>
    <hyperlink ref="DM10" r:id="rId218" display="https://drive.google.com/drive/folders/14u9NyjtgniUb3sDJBi3k6P63FgYq3mPu?usp=sharing" xr:uid="{55B16DFA-752C-4D48-BEF2-9647C76C209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04AB-482E-45F2-B80F-C31149A2644F}">
  <dimension ref="A1:DY10"/>
  <sheetViews>
    <sheetView workbookViewId="0">
      <selection activeCell="C19" sqref="C19"/>
    </sheetView>
  </sheetViews>
  <sheetFormatPr defaultRowHeight="14.4" x14ac:dyDescent="0.3"/>
  <sheetData>
    <row r="1" spans="1:129" ht="61.5" customHeight="1" x14ac:dyDescent="0.3">
      <c r="A1" s="31" t="str">
        <f ca="1">IFERROR(__xludf.DUMMYFUNCTION("IMPORTRANGE(""https://docs.google.com/spreadsheets/d/1iyWRA-uciZRjyPvHjmkBTpc9HswnKAr4YCNtE9Ly5XQ/edit?gid=558719621#gid=558719621"",""Form Responses 1!A:CC"")"),"Timestamp")</f>
        <v>Timestamp</v>
      </c>
      <c r="B1" s="29" t="str">
        <f ca="1">IFERROR(__xludf.DUMMYFUNCTION("""COMPUTED_VALUE"""),"Email Address")</f>
        <v>Email Address</v>
      </c>
      <c r="C1" s="29" t="str">
        <f ca="1">IFERROR(__xludf.DUMMYFUNCTION("""COMPUTED_VALUE"""),"NPSN")</f>
        <v>NPSN</v>
      </c>
      <c r="D1" s="29" t="str">
        <f ca="1">IFERROR(__xludf.DUMMYFUNCTION("""COMPUTED_VALUE"""),"Kecamatan")</f>
        <v>Kecamatan</v>
      </c>
      <c r="E1" s="29" t="str">
        <f ca="1">IFERROR(__xludf.DUMMYFUNCTION("""COMPUTED_VALUE"""),"JENJANG SEKOLAH")</f>
        <v>JENJANG SEKOLAH</v>
      </c>
      <c r="F1" s="29" t="str">
        <f ca="1">IFERROR(__xludf.DUMMYFUNCTION("""COMPUTED_VALUE"""),"NAMA SEKOLAH")</f>
        <v>NAMA SEKOLAH</v>
      </c>
      <c r="G1" s="29" t="str">
        <f ca="1">IFERROR(__xludf.DUMMYFUNCTION("""COMPUTED_VALUE"""),"NAMA PENGAWAS")</f>
        <v>NAMA PENGAWAS</v>
      </c>
      <c r="H1" s="29" t="str">
        <f ca="1">IFERROR(__xludf.DUMMYFUNCTION("""COMPUTED_VALUE"""),"Nomor HP Pengawas")</f>
        <v>Nomor HP Pengawas</v>
      </c>
      <c r="I1" s="29" t="str">
        <f ca="1">IFERROR(__xludf.DUMMYFUNCTION("""COMPUTED_VALUE"""),"NAMA KEPALA SEKOLAH")</f>
        <v>NAMA KEPALA SEKOLAH</v>
      </c>
      <c r="J1" s="29" t="str">
        <f ca="1">IFERROR(__xludf.DUMMYFUNCTION("""COMPUTED_VALUE"""),"Nomor HP Kepala Sekolah")</f>
        <v>Nomor HP Kepala Sekolah</v>
      </c>
      <c r="K1" s="29" t="str">
        <f ca="1">IFERROR(__xludf.DUMMYFUNCTION("""COMPUTED_VALUE"""),"Bulan")</f>
        <v>Bulan</v>
      </c>
      <c r="L1" s="29" t="str">
        <f ca="1">IFERROR(__xludf.DUMMYFUNCTION("""COMPUTED_VALUE"""),"Minggu")</f>
        <v>Minggu</v>
      </c>
      <c r="M1" s="29" t="str">
        <f ca="1">IFERROR(__xludf.DUMMYFUNCTION("""COMPUTED_VALUE"""),"1.1 Kebersihan Lingkungan Satuan Pendidikan [Baseline]")</f>
        <v>1.1 Kebersihan Lingkungan Satuan Pendidikan [Baseline]</v>
      </c>
      <c r="N1" s="29" t="str">
        <f ca="1">IFERROR(__xludf.DUMMYFUNCTION("""COMPUTED_VALUE"""),"1.1 Kebersihan Lingkungan Satuan Pendidikan [Target]")</f>
        <v>1.1 Kebersihan Lingkungan Satuan Pendidikan [Target]</v>
      </c>
      <c r="O1" s="29" t="str">
        <f ca="1">IFERROR(__xludf.DUMMYFUNCTION("""COMPUTED_VALUE"""),"1.1 Kebersihan Lingkungan Satuan Pendidikan [Capaian]")</f>
        <v>1.1 Kebersihan Lingkungan Satuan Pendidikan [Capaian]</v>
      </c>
      <c r="P1" s="29" t="str">
        <f ca="1">IFERROR(__xludf.DUMMYFUNCTION("""COMPUTED_VALUE"""),"Link Dokumentasi 1.1 Kebersihan Lingkungan Satuan Pendidikan")</f>
        <v>Link Dokumentasi 1.1 Kebersihan Lingkungan Satuan Pendidikan</v>
      </c>
      <c r="Q1" s="29" t="str">
        <f ca="1">IFERROR(__xludf.DUMMYFUNCTION("""COMPUTED_VALUE"""),"1.2  Kebersihan Lingkungan Belajar [Baseline]")</f>
        <v>1.2  Kebersihan Lingkungan Belajar [Baseline]</v>
      </c>
      <c r="R1" s="29" t="str">
        <f ca="1">IFERROR(__xludf.DUMMYFUNCTION("""COMPUTED_VALUE"""),"1.2  Kebersihan Lingkungan Belajar [Target]")</f>
        <v>1.2  Kebersihan Lingkungan Belajar [Target]</v>
      </c>
      <c r="S1" s="29" t="str">
        <f ca="1">IFERROR(__xludf.DUMMYFUNCTION("""COMPUTED_VALUE"""),"1.2  Kebersihan Lingkungan Belajar [Capaian]")</f>
        <v>1.2  Kebersihan Lingkungan Belajar [Capaian]</v>
      </c>
      <c r="T1" s="29" t="str">
        <f ca="1">IFERROR(__xludf.DUMMYFUNCTION("""COMPUTED_VALUE"""),"Link Dokumentasi 1.2  Kebersihan Lingkungan Belajar")</f>
        <v>Link Dokumentasi 1.2  Kebersihan Lingkungan Belajar</v>
      </c>
      <c r="U1" s="29" t="str">
        <f ca="1">IFERROR(__xludf.DUMMYFUNCTION("""COMPUTED_VALUE"""),"1.3   Kelengkapan Sanitasi dan Kebersihan Kamar Mandi [Baseline]")</f>
        <v>1.3   Kelengkapan Sanitasi dan Kebersihan Kamar Mandi [Baseline]</v>
      </c>
      <c r="V1" s="29" t="str">
        <f ca="1">IFERROR(__xludf.DUMMYFUNCTION("""COMPUTED_VALUE"""),"1.3   Kelengkapan Sanitasi dan Kebersihan Kamar Mandi [Target]")</f>
        <v>1.3   Kelengkapan Sanitasi dan Kebersihan Kamar Mandi [Target]</v>
      </c>
      <c r="W1" s="29" t="str">
        <f ca="1">IFERROR(__xludf.DUMMYFUNCTION("""COMPUTED_VALUE"""),"1.3   Kelengkapan Sanitasi dan Kebersihan Kamar Mandi [Capaian]")</f>
        <v>1.3   Kelengkapan Sanitasi dan Kebersihan Kamar Mandi [Capaian]</v>
      </c>
      <c r="X1" s="29" t="str">
        <f ca="1">IFERROR(__xludf.DUMMYFUNCTION("""COMPUTED_VALUE"""),"Link Dokumentasi  1.3   Kelengkapan Sanitasi dan Kebersihan Kamar Mandi")</f>
        <v>Link Dokumentasi  1.3   Kelengkapan Sanitasi dan Kebersihan Kamar Mandi</v>
      </c>
      <c r="Y1" s="29" t="str">
        <f ca="1">IFERROR(__xludf.DUMMYFUNCTION("""COMPUTED_VALUE"""),"1.4  Kerindangan dan Apotik Hidup Sekolah [Baseline]")</f>
        <v>1.4  Kerindangan dan Apotik Hidup Sekolah [Baseline]</v>
      </c>
      <c r="Z1" s="29" t="str">
        <f ca="1">IFERROR(__xludf.DUMMYFUNCTION("""COMPUTED_VALUE"""),"1.4  Kerindangan dan Apotik Hidup Sekolah [Target]")</f>
        <v>1.4  Kerindangan dan Apotik Hidup Sekolah [Target]</v>
      </c>
      <c r="AA1" s="29" t="str">
        <f ca="1">IFERROR(__xludf.DUMMYFUNCTION("""COMPUTED_VALUE"""),"1.4  Kerindangan dan Apotik Hidup Sekolah [Capaian]")</f>
        <v>1.4  Kerindangan dan Apotik Hidup Sekolah [Capaian]</v>
      </c>
      <c r="AB1" s="29" t="str">
        <f ca="1">IFERROR(__xludf.DUMMYFUNCTION("""COMPUTED_VALUE"""),"Link Dokumentasi 1.4  Kerindangan dan Apotik Hidup Sekolah")</f>
        <v>Link Dokumentasi 1.4  Kerindangan dan Apotik Hidup Sekolah</v>
      </c>
      <c r="AC1" s="29" t="str">
        <f ca="1">IFERROR(__xludf.DUMMYFUNCTION("""COMPUTED_VALUE"""),"2.1  Area bermain aman bagi anak [Baseline]")</f>
        <v>2.1  Area bermain aman bagi anak [Baseline]</v>
      </c>
      <c r="AD1" s="29" t="str">
        <f ca="1">IFERROR(__xludf.DUMMYFUNCTION("""COMPUTED_VALUE"""),"2.1  Area bermain aman bagi anak [Target]")</f>
        <v>2.1  Area bermain aman bagi anak [Target]</v>
      </c>
      <c r="AE1" s="29" t="str">
        <f ca="1">IFERROR(__xludf.DUMMYFUNCTION("""COMPUTED_VALUE"""),"2.1  Area bermain aman bagi anak [Capaian]")</f>
        <v>2.1  Area bermain aman bagi anak [Capaian]</v>
      </c>
      <c r="AF1" s="29" t="str">
        <f ca="1">IFERROR(__xludf.DUMMYFUNCTION("""COMPUTED_VALUE"""),"Link Dokumentasi 2.1  Area bermain aman bagi anak")</f>
        <v>Link Dokumentasi 2.1  Area bermain aman bagi anak</v>
      </c>
      <c r="AG1" s="29" t="str">
        <f ca="1">IFERROR(__xludf.DUMMYFUNCTION("""COMPUTED_VALUE"""),"2.2   Terpisah toilet laki-laki dan perempuan [Baseline]")</f>
        <v>2.2   Terpisah toilet laki-laki dan perempuan [Baseline]</v>
      </c>
      <c r="AH1" s="29" t="str">
        <f ca="1">IFERROR(__xludf.DUMMYFUNCTION("""COMPUTED_VALUE"""),"2.2   Terpisah toilet laki-laki dan perempuan [Target]")</f>
        <v>2.2   Terpisah toilet laki-laki dan perempuan [Target]</v>
      </c>
      <c r="AI1" s="29" t="str">
        <f ca="1">IFERROR(__xludf.DUMMYFUNCTION("""COMPUTED_VALUE"""),"2.2   Terpisah toilet laki-laki dan perempuan [Capaian]")</f>
        <v>2.2   Terpisah toilet laki-laki dan perempuan [Capaian]</v>
      </c>
      <c r="AJ1" s="29" t="str">
        <f ca="1">IFERROR(__xludf.DUMMYFUNCTION("""COMPUTED_VALUE"""),"Link Dokumentasi  2.2  Terpisah toilet laki-laki dan perempuan")</f>
        <v>Link Dokumentasi  2.2  Terpisah toilet laki-laki dan perempuan</v>
      </c>
      <c r="AK1" s="29" t="str">
        <f ca="1">IFERROR(__xludf.DUMMYFUNCTION("""COMPUTED_VALUE"""),"2.3 Parenting [Baseline]")</f>
        <v>2.3 Parenting [Baseline]</v>
      </c>
      <c r="AL1" s="29" t="str">
        <f ca="1">IFERROR(__xludf.DUMMYFUNCTION("""COMPUTED_VALUE"""),"2.3 Parenting [Target]")</f>
        <v>2.3 Parenting [Target]</v>
      </c>
      <c r="AM1" s="29" t="str">
        <f ca="1">IFERROR(__xludf.DUMMYFUNCTION("""COMPUTED_VALUE"""),"2.3 Parenting [Capaian]")</f>
        <v>2.3 Parenting [Capaian]</v>
      </c>
      <c r="AN1" s="29" t="str">
        <f ca="1">IFERROR(__xludf.DUMMYFUNCTION("""COMPUTED_VALUE"""),"Link Dokumentasi  2.3  Parenting")</f>
        <v>Link Dokumentasi  2.3  Parenting</v>
      </c>
      <c r="AO1" s="29" t="str">
        <f ca="1">IFERROR(__xludf.DUMMYFUNCTION("""COMPUTED_VALUE"""),"3.1   Pemanfaatan Teknologi dan tersedianya APE dalam pembelajaran [Baseline]")</f>
        <v>3.1   Pemanfaatan Teknologi dan tersedianya APE dalam pembelajaran [Baseline]</v>
      </c>
      <c r="AP1" s="29" t="str">
        <f ca="1">IFERROR(__xludf.DUMMYFUNCTION("""COMPUTED_VALUE"""),"3.1   Pemanfaatan Teknologi dan tersedianya APE dalam pembelajaran [Target]")</f>
        <v>3.1   Pemanfaatan Teknologi dan tersedianya APE dalam pembelajaran [Target]</v>
      </c>
      <c r="AQ1" s="29" t="str">
        <f ca="1">IFERROR(__xludf.DUMMYFUNCTION("""COMPUTED_VALUE"""),"3.1   Pemanfaatan Teknologi dan tersedianya APE dalam pembelajaran [Capaian]")</f>
        <v>3.1   Pemanfaatan Teknologi dan tersedianya APE dalam pembelajaran [Capaian]</v>
      </c>
      <c r="AR1" s="29" t="str">
        <f ca="1">IFERROR(__xludf.DUMMYFUNCTION("""COMPUTED_VALUE"""),"Link Dokumentasi   3.1  Pemanfaatan Teknologi dan tersedianya APE dalam pembelajaran")</f>
        <v>Link Dokumentasi   3.1  Pemanfaatan Teknologi dan tersedianya APE dalam pembelajaran</v>
      </c>
      <c r="AS1" s="29" t="str">
        <f ca="1">IFERROR(__xludf.DUMMYFUNCTION("""COMPUTED_VALUE"""),"3.2  Pelaksanaan kegiatan 7 KAIH [Baseline]")</f>
        <v>3.2  Pelaksanaan kegiatan 7 KAIH [Baseline]</v>
      </c>
      <c r="AT1" s="29" t="str">
        <f ca="1">IFERROR(__xludf.DUMMYFUNCTION("""COMPUTED_VALUE"""),"3.2  Pelaksanaan kegiatan 7 KAIH [Target]")</f>
        <v>3.2  Pelaksanaan kegiatan 7 KAIH [Target]</v>
      </c>
      <c r="AU1" s="29" t="str">
        <f ca="1">IFERROR(__xludf.DUMMYFUNCTION("""COMPUTED_VALUE"""),"3.2  Pelaksanaan kegiatan 7 KAIH [Capaian]")</f>
        <v>3.2  Pelaksanaan kegiatan 7 KAIH [Capaian]</v>
      </c>
      <c r="AV1" s="29" t="str">
        <f ca="1">IFERROR(__xludf.DUMMYFUNCTION("""COMPUTED_VALUE"""),"Link Dokumentasi   3.2  Pelaksanaan kegiatan 7 KAIH")</f>
        <v>Link Dokumentasi   3.2  Pelaksanaan kegiatan 7 KAIH</v>
      </c>
      <c r="AW1" s="29" t="str">
        <f ca="1">IFERROR(__xludf.DUMMYFUNCTION("""COMPUTED_VALUE"""),"4.1  Pertumbuhan dan perkembangan anak [Baseline]")</f>
        <v>4.1  Pertumbuhan dan perkembangan anak [Baseline]</v>
      </c>
      <c r="AX1" s="29" t="str">
        <f ca="1">IFERROR(__xludf.DUMMYFUNCTION("""COMPUTED_VALUE"""),"4.1  Pertumbuhan dan perkembangan anak [Target]")</f>
        <v>4.1  Pertumbuhan dan perkembangan anak [Target]</v>
      </c>
      <c r="AY1" s="29" t="str">
        <f ca="1">IFERROR(__xludf.DUMMYFUNCTION("""COMPUTED_VALUE"""),"4.1  Pertumbuhan dan perkembangan anak [Capaian]")</f>
        <v>4.1  Pertumbuhan dan perkembangan anak [Capaian]</v>
      </c>
      <c r="AZ1" s="29" t="str">
        <f ca="1">IFERROR(__xludf.DUMMYFUNCTION("""COMPUTED_VALUE"""),"Link  Dokumentasi  4.1    Pertumbuhan dan perkembangan anak")</f>
        <v>Link  Dokumentasi  4.1    Pertumbuhan dan perkembangan anak</v>
      </c>
      <c r="BA1" s="29" t="str">
        <f ca="1">IFERROR(__xludf.DUMMYFUNCTION("""COMPUTED_VALUE"""),"5.1  Kerjasama dengan puskesmas, posyandu, atau lembaga lain      [Baseline]")</f>
        <v>5.1  Kerjasama dengan puskesmas, posyandu, atau lembaga lain      [Baseline]</v>
      </c>
      <c r="BB1" s="29" t="str">
        <f ca="1">IFERROR(__xludf.DUMMYFUNCTION("""COMPUTED_VALUE"""),"5.1  Kerjasama dengan puskesmas, posyandu, atau lembaga lain      [Target]")</f>
        <v>5.1  Kerjasama dengan puskesmas, posyandu, atau lembaga lain      [Target]</v>
      </c>
      <c r="BC1" s="29" t="str">
        <f ca="1">IFERROR(__xludf.DUMMYFUNCTION("""COMPUTED_VALUE"""),"5.1  Kerjasama dengan puskesmas, posyandu, atau lembaga lain      [Capaian]")</f>
        <v>5.1  Kerjasama dengan puskesmas, posyandu, atau lembaga lain      [Capaian]</v>
      </c>
      <c r="BD1" s="29" t="str">
        <f ca="1">IFERROR(__xludf.DUMMYFUNCTION("""COMPUTED_VALUE"""),"Link  Dokumentasi   5.1  Kerjasama dengan puskesmas, posyandu, atau lembaga lain")</f>
        <v>Link  Dokumentasi   5.1  Kerjasama dengan puskesmas, posyandu, atau lembaga lain</v>
      </c>
      <c r="BE1" s="29" t="str">
        <f ca="1">IFERROR(__xludf.DUMMYFUNCTION("""COMPUTED_VALUE"""),"5.2  Keterlibatan orang tua dalam kegiatan sekolah [Baseline]")</f>
        <v>5.2  Keterlibatan orang tua dalam kegiatan sekolah [Baseline]</v>
      </c>
      <c r="BF1" s="29" t="str">
        <f ca="1">IFERROR(__xludf.DUMMYFUNCTION("""COMPUTED_VALUE"""),"5.2  Keterlibatan orang tua dalam kegiatan sekolah [Target]")</f>
        <v>5.2  Keterlibatan orang tua dalam kegiatan sekolah [Target]</v>
      </c>
      <c r="BG1" s="29" t="str">
        <f ca="1">IFERROR(__xludf.DUMMYFUNCTION("""COMPUTED_VALUE"""),"5.2  Keterlibatan orang tua dalam kegiatan sekolah [Capaian]")</f>
        <v>5.2  Keterlibatan orang tua dalam kegiatan sekolah [Capaian]</v>
      </c>
      <c r="BH1" s="29" t="str">
        <f ca="1">IFERROR(__xludf.DUMMYFUNCTION("""COMPUTED_VALUE"""),"Link  Dokumentasi   5.2  Keterlibatan orang tua dalam kegiatan sekolah")</f>
        <v>Link  Dokumentasi   5.2  Keterlibatan orang tua dalam kegiatan sekolah</v>
      </c>
      <c r="BI1" s="29" t="str">
        <f ca="1">IFERROR(__xludf.DUMMYFUNCTION("""COMPUTED_VALUE"""),"6.1 Dokumen Rencana Kerja Sekolah [Baseline]")</f>
        <v>6.1 Dokumen Rencana Kerja Sekolah [Baseline]</v>
      </c>
      <c r="BJ1" s="29" t="str">
        <f ca="1">IFERROR(__xludf.DUMMYFUNCTION("""COMPUTED_VALUE"""),"6.1 Dokumen Rencana Kerja Sekolah [Target]")</f>
        <v>6.1 Dokumen Rencana Kerja Sekolah [Target]</v>
      </c>
      <c r="BK1" s="29" t="str">
        <f ca="1">IFERROR(__xludf.DUMMYFUNCTION("""COMPUTED_VALUE"""),"6.1 Dokumen Rencana Kerja Sekolah [Capaian]")</f>
        <v>6.1 Dokumen Rencana Kerja Sekolah [Capaian]</v>
      </c>
      <c r="BL1" s="29" t="str">
        <f ca="1">IFERROR(__xludf.DUMMYFUNCTION("""COMPUTED_VALUE"""),"Link Dokumentasi 6.1 Dokumen Rencana Kerja Sekolah")</f>
        <v>Link Dokumentasi 6.1 Dokumen Rencana Kerja Sekolah</v>
      </c>
      <c r="BM1" s="29" t="str">
        <f ca="1">IFERROR(__xludf.DUMMYFUNCTION("""COMPUTED_VALUE"""),"6.2 Dokumen Kurikulum Satuan Pendidikan  [Baseline]")</f>
        <v>6.2 Dokumen Kurikulum Satuan Pendidikan  [Baseline]</v>
      </c>
      <c r="BN1" s="29" t="str">
        <f ca="1">IFERROR(__xludf.DUMMYFUNCTION("""COMPUTED_VALUE"""),"6.2 Dokumen Kurikulum Satuan Pendidikan  [Target]")</f>
        <v>6.2 Dokumen Kurikulum Satuan Pendidikan  [Target]</v>
      </c>
      <c r="BO1" s="29" t="str">
        <f ca="1">IFERROR(__xludf.DUMMYFUNCTION("""COMPUTED_VALUE"""),"6.2 Dokumen Kurikulum Satuan Pendidikan  [Capaian]")</f>
        <v>6.2 Dokumen Kurikulum Satuan Pendidikan  [Capaian]</v>
      </c>
      <c r="BP1" s="29" t="str">
        <f ca="1">IFERROR(__xludf.DUMMYFUNCTION("""COMPUTED_VALUE"""),"Link Dokumentasi 6.2 Dokumen Kurikulum Satuan Pendidikan")</f>
        <v>Link Dokumentasi 6.2 Dokumen Kurikulum Satuan Pendidikan</v>
      </c>
      <c r="BQ1" s="29" t="str">
        <f ca="1">IFERROR(__xludf.DUMMYFUNCTION("""COMPUTED_VALUE""")," 6.3 Dokumen Inventaris Barang  [Baseline]")</f>
        <v xml:space="preserve"> 6.3 Dokumen Inventaris Barang  [Baseline]</v>
      </c>
      <c r="BR1" s="29" t="str">
        <f ca="1">IFERROR(__xludf.DUMMYFUNCTION("""COMPUTED_VALUE""")," 6.3 Dokumen Inventaris Barang  [Target]")</f>
        <v xml:space="preserve"> 6.3 Dokumen Inventaris Barang  [Target]</v>
      </c>
      <c r="BS1" s="29" t="str">
        <f ca="1">IFERROR(__xludf.DUMMYFUNCTION("""COMPUTED_VALUE""")," 6.3 Dokumen Inventaris Barang  [Capaian]")</f>
        <v xml:space="preserve"> 6.3 Dokumen Inventaris Barang  [Capaian]</v>
      </c>
      <c r="BT1" s="29" t="str">
        <f ca="1">IFERROR(__xludf.DUMMYFUNCTION("""COMPUTED_VALUE"""),"Link Dokumentasi 6.3 Dokumen Inventaris Barang")</f>
        <v>Link Dokumentasi 6.3 Dokumen Inventaris Barang</v>
      </c>
      <c r="BU1" s="29" t="str">
        <f ca="1">IFERROR(__xludf.DUMMYFUNCTION("""COMPUTED_VALUE""")," 6.4 Dokumen Administrasi Murid  [Baseline]")</f>
        <v xml:space="preserve"> 6.4 Dokumen Administrasi Murid  [Baseline]</v>
      </c>
      <c r="BV1" s="29" t="str">
        <f ca="1">IFERROR(__xludf.DUMMYFUNCTION("""COMPUTED_VALUE""")," 6.4 Dokumen Administrasi Murid  [Target]")</f>
        <v xml:space="preserve"> 6.4 Dokumen Administrasi Murid  [Target]</v>
      </c>
      <c r="BW1" s="29" t="str">
        <f ca="1">IFERROR(__xludf.DUMMYFUNCTION("""COMPUTED_VALUE""")," 6.4 Dokumen Administrasi Murid  [Capaian]")</f>
        <v xml:space="preserve"> 6.4 Dokumen Administrasi Murid  [Capaian]</v>
      </c>
      <c r="BX1" s="29" t="str">
        <f ca="1">IFERROR(__xludf.DUMMYFUNCTION("""COMPUTED_VALUE"""),"Link  Dokumentasi 6.4 Dokumen Administrasi Murid")</f>
        <v>Link  Dokumentasi 6.4 Dokumen Administrasi Murid</v>
      </c>
      <c r="BY1" s="29" t="str">
        <f ca="1">IFERROR(__xludf.DUMMYFUNCTION("""COMPUTED_VALUE""")," 6.5  Laporan Penggunaan Dana BOS   [Baseline]")</f>
        <v xml:space="preserve"> 6.5  Laporan Penggunaan Dana BOS   [Baseline]</v>
      </c>
      <c r="BZ1" s="29" t="str">
        <f ca="1">IFERROR(__xludf.DUMMYFUNCTION("""COMPUTED_VALUE""")," 6.5  Laporan Penggunaan Dana BOS   [Target]")</f>
        <v xml:space="preserve"> 6.5  Laporan Penggunaan Dana BOS   [Target]</v>
      </c>
      <c r="CA1" s="29" t="str">
        <f ca="1">IFERROR(__xludf.DUMMYFUNCTION("""COMPUTED_VALUE""")," 6.5  Laporan Penggunaan Dana BOS   [Capaian]")</f>
        <v xml:space="preserve"> 6.5  Laporan Penggunaan Dana BOS   [Capaian]</v>
      </c>
      <c r="CB1" s="29" t="str">
        <f ca="1">IFERROR(__xludf.DUMMYFUNCTION("""COMPUTED_VALUE"""),"Link Dokumentasi 6.5  Laporan Penggunaan Dana BOS")</f>
        <v>Link Dokumentasi 6.5  Laporan Penggunaan Dana BOS</v>
      </c>
      <c r="CC1" s="57" t="str">
        <f ca="1">IFERROR(__xludf.DUMMYFUNCTION("""COMPUTED_VALUE"""),"Catatan dan Rekomendasi")</f>
        <v>Catatan dan Rekomendasi</v>
      </c>
      <c r="CD1" s="58" t="s">
        <v>59</v>
      </c>
      <c r="CE1" s="58" t="s">
        <v>60</v>
      </c>
      <c r="CF1" s="58" t="s">
        <v>61</v>
      </c>
      <c r="CG1" s="58" t="s">
        <v>62</v>
      </c>
      <c r="CH1" s="59" t="s">
        <v>87</v>
      </c>
      <c r="CI1" s="59" t="s">
        <v>88</v>
      </c>
      <c r="CJ1" s="59" t="s">
        <v>89</v>
      </c>
      <c r="CK1" s="59" t="s">
        <v>90</v>
      </c>
      <c r="CL1" s="60" t="s">
        <v>91</v>
      </c>
      <c r="CM1" s="60" t="s">
        <v>92</v>
      </c>
      <c r="CN1" s="60" t="s">
        <v>93</v>
      </c>
      <c r="CO1" s="60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  <c r="CT1" s="62" t="s">
        <v>99</v>
      </c>
      <c r="CU1" s="62" t="s">
        <v>100</v>
      </c>
      <c r="CV1" s="62" t="s">
        <v>101</v>
      </c>
      <c r="CW1" s="62" t="s">
        <v>102</v>
      </c>
      <c r="CX1" s="63" t="s">
        <v>103</v>
      </c>
      <c r="CY1" s="63" t="s">
        <v>104</v>
      </c>
      <c r="CZ1" s="63" t="s">
        <v>105</v>
      </c>
      <c r="DA1" s="63" t="s">
        <v>106</v>
      </c>
      <c r="DB1" s="64" t="s">
        <v>107</v>
      </c>
      <c r="DC1" s="64" t="s">
        <v>108</v>
      </c>
      <c r="DD1" s="64" t="s">
        <v>109</v>
      </c>
      <c r="DE1" s="64" t="s">
        <v>110</v>
      </c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</row>
    <row r="2" spans="1:129" x14ac:dyDescent="0.3">
      <c r="A2" s="65">
        <f ca="1">IFERROR(__xludf.DUMMYFUNCTION("""COMPUTED_VALUE"""),46109.4691608217)</f>
        <v>46109.469160821704</v>
      </c>
      <c r="B2" s="41" t="str">
        <f ca="1">IFERROR(__xludf.DUMMYFUNCTION("""COMPUTED_VALUE"""),"srisaragih023@dinas.belajar.id")</f>
        <v>srisaragih023@dinas.belajar.id</v>
      </c>
      <c r="C2" s="41">
        <f ca="1">IFERROR(__xludf.DUMMYFUNCTION("""COMPUTED_VALUE"""),69947457)</f>
        <v>69947457</v>
      </c>
      <c r="D2" s="41" t="str">
        <f ca="1">IFERROR(__xludf.DUMMYFUNCTION("""COMPUTED_VALUE"""),"Lubuk Pakam")</f>
        <v>Lubuk Pakam</v>
      </c>
      <c r="E2" s="41" t="str">
        <f ca="1">IFERROR(__xludf.DUMMYFUNCTION("""COMPUTED_VALUE"""),"TAMAN KANAK-KANAK")</f>
        <v>TAMAN KANAK-KANAK</v>
      </c>
      <c r="F2" s="41" t="str">
        <f ca="1">IFERROR(__xludf.DUMMYFUNCTION("""COMPUTED_VALUE"""),"UPT SPF TK NEGERI SATU ATAP 2 LUBUK PAKAM")</f>
        <v>UPT SPF TK NEGERI SATU ATAP 2 LUBUK PAKAM</v>
      </c>
      <c r="G2" s="41" t="str">
        <f ca="1">IFERROR(__xludf.DUMMYFUNCTION("""COMPUTED_VALUE"""),"SRI NILAWATI SARAGIH, S.Pd, M.Pd")</f>
        <v>SRI NILAWATI SARAGIH, S.Pd, M.Pd</v>
      </c>
      <c r="H2" s="41" t="str">
        <f ca="1">IFERROR(__xludf.DUMMYFUNCTION("""COMPUTED_VALUE"""),"081361406048")</f>
        <v>081361406048</v>
      </c>
      <c r="I2" s="41" t="str">
        <f ca="1">IFERROR(__xludf.DUMMYFUNCTION("""COMPUTED_VALUE"""),"SRI SUHERNI, S.Pd")</f>
        <v>SRI SUHERNI, S.Pd</v>
      </c>
      <c r="J2" s="41" t="str">
        <f ca="1">IFERROR(__xludf.DUMMYFUNCTION("""COMPUTED_VALUE"""),"082161474024")</f>
        <v>082161474024</v>
      </c>
      <c r="K2" s="41" t="str">
        <f ca="1">IFERROR(__xludf.DUMMYFUNCTION("""COMPUTED_VALUE"""),"Maret")</f>
        <v>Maret</v>
      </c>
      <c r="L2" s="41" t="str">
        <f ca="1">IFERROR(__xludf.DUMMYFUNCTION("""COMPUTED_VALUE"""),"I")</f>
        <v>I</v>
      </c>
      <c r="M2" s="41">
        <f ca="1">IFERROR(__xludf.DUMMYFUNCTION("""COMPUTED_VALUE"""),2)</f>
        <v>2</v>
      </c>
      <c r="N2" s="41">
        <f ca="1">IFERROR(__xludf.DUMMYFUNCTION("""COMPUTED_VALUE"""),4)</f>
        <v>4</v>
      </c>
      <c r="O2" s="41">
        <f ca="1">IFERROR(__xludf.DUMMYFUNCTION("""COMPUTED_VALUE"""),3)</f>
        <v>3</v>
      </c>
      <c r="P2" s="42" t="str">
        <f ca="1">IFERROR(__xludf.DUMMYFUNCTION("""COMPUTED_VALUE"""),"https://drive.google.com/drive/folders/10RlAFfwYnenEsFzFpJGRMyg5jQrhFRdQ?usp=sharing")</f>
        <v>https://drive.google.com/drive/folders/10RlAFfwYnenEsFzFpJGRMyg5jQrhFRdQ?usp=sharing</v>
      </c>
      <c r="Q2" s="41">
        <f ca="1">IFERROR(__xludf.DUMMYFUNCTION("""COMPUTED_VALUE"""),2)</f>
        <v>2</v>
      </c>
      <c r="R2" s="41">
        <f ca="1">IFERROR(__xludf.DUMMYFUNCTION("""COMPUTED_VALUE"""),4)</f>
        <v>4</v>
      </c>
      <c r="S2" s="41">
        <f ca="1">IFERROR(__xludf.DUMMYFUNCTION("""COMPUTED_VALUE"""),3)</f>
        <v>3</v>
      </c>
      <c r="T2" s="42" t="str">
        <f ca="1">IFERROR(__xludf.DUMMYFUNCTION("""COMPUTED_VALUE"""),"https://drive.google.com/drive/folders/1bqm-meRzsVTTjG_hhvge7ytXi92kCBd0?usp=sharing")</f>
        <v>https://drive.google.com/drive/folders/1bqm-meRzsVTTjG_hhvge7ytXi92kCBd0?usp=sharing</v>
      </c>
      <c r="U2" s="41">
        <f ca="1">IFERROR(__xludf.DUMMYFUNCTION("""COMPUTED_VALUE"""),2)</f>
        <v>2</v>
      </c>
      <c r="V2" s="41">
        <f ca="1">IFERROR(__xludf.DUMMYFUNCTION("""COMPUTED_VALUE"""),4)</f>
        <v>4</v>
      </c>
      <c r="W2" s="41">
        <f ca="1">IFERROR(__xludf.DUMMYFUNCTION("""COMPUTED_VALUE"""),2)</f>
        <v>2</v>
      </c>
      <c r="X2" s="42" t="str">
        <f ca="1">IFERROR(__xludf.DUMMYFUNCTION("""COMPUTED_VALUE"""),"https://drive.google.com/drive/folders/1hV6d3O1JyP2AyFF7JU3xUbwOrAq4HVog?usp=sharing")</f>
        <v>https://drive.google.com/drive/folders/1hV6d3O1JyP2AyFF7JU3xUbwOrAq4HVog?usp=sharing</v>
      </c>
      <c r="Y2" s="41">
        <f ca="1">IFERROR(__xludf.DUMMYFUNCTION("""COMPUTED_VALUE"""),1)</f>
        <v>1</v>
      </c>
      <c r="Z2" s="41">
        <f ca="1">IFERROR(__xludf.DUMMYFUNCTION("""COMPUTED_VALUE"""),3)</f>
        <v>3</v>
      </c>
      <c r="AA2" s="41">
        <f ca="1">IFERROR(__xludf.DUMMYFUNCTION("""COMPUTED_VALUE"""),1)</f>
        <v>1</v>
      </c>
      <c r="AB2" s="41" t="str">
        <f ca="1">IFERROR(__xludf.DUMMYFUNCTION("""COMPUTED_VALUE"""),"   -")</f>
        <v xml:space="preserve">   -</v>
      </c>
      <c r="AC2" s="41">
        <f ca="1">IFERROR(__xludf.DUMMYFUNCTION("""COMPUTED_VALUE"""),2)</f>
        <v>2</v>
      </c>
      <c r="AD2" s="41">
        <f ca="1">IFERROR(__xludf.DUMMYFUNCTION("""COMPUTED_VALUE"""),3)</f>
        <v>3</v>
      </c>
      <c r="AE2" s="41">
        <f ca="1">IFERROR(__xludf.DUMMYFUNCTION("""COMPUTED_VALUE"""),2)</f>
        <v>2</v>
      </c>
      <c r="AF2" s="42" t="str">
        <f ca="1">IFERROR(__xludf.DUMMYFUNCTION("""COMPUTED_VALUE"""),"https://drive.google.com/drive/folders/18VzRqId9mCGxBGTI2Dy4cpmFmpHh0o1b?usp=sharing")</f>
        <v>https://drive.google.com/drive/folders/18VzRqId9mCGxBGTI2Dy4cpmFmpHh0o1b?usp=sharing</v>
      </c>
      <c r="AG2" s="41">
        <f ca="1">IFERROR(__xludf.DUMMYFUNCTION("""COMPUTED_VALUE"""),2)</f>
        <v>2</v>
      </c>
      <c r="AH2" s="41">
        <f ca="1">IFERROR(__xludf.DUMMYFUNCTION("""COMPUTED_VALUE"""),4)</f>
        <v>4</v>
      </c>
      <c r="AI2" s="41">
        <f ca="1">IFERROR(__xludf.DUMMYFUNCTION("""COMPUTED_VALUE"""),2)</f>
        <v>2</v>
      </c>
      <c r="AJ2" s="42" t="str">
        <f ca="1">IFERROR(__xludf.DUMMYFUNCTION("""COMPUTED_VALUE"""),"https://drive.google.com/drive/folders/1AsSL1wMjbB3uehhWwzYYzf-SxjW9qTXF?usp=sharing")</f>
        <v>https://drive.google.com/drive/folders/1AsSL1wMjbB3uehhWwzYYzf-SxjW9qTXF?usp=sharing</v>
      </c>
      <c r="AK2" s="41">
        <f ca="1">IFERROR(__xludf.DUMMYFUNCTION("""COMPUTED_VALUE"""),2)</f>
        <v>2</v>
      </c>
      <c r="AL2" s="41">
        <f ca="1">IFERROR(__xludf.DUMMYFUNCTION("""COMPUTED_VALUE"""),4)</f>
        <v>4</v>
      </c>
      <c r="AM2" s="41">
        <f ca="1">IFERROR(__xludf.DUMMYFUNCTION("""COMPUTED_VALUE"""),2)</f>
        <v>2</v>
      </c>
      <c r="AN2" s="42" t="str">
        <f ca="1">IFERROR(__xludf.DUMMYFUNCTION("""COMPUTED_VALUE"""),"https://drive.google.com/drive/folders/17xgTxLHXg6i4CPSfgux8u3vbUbI7zAU7?usp=sharing")</f>
        <v>https://drive.google.com/drive/folders/17xgTxLHXg6i4CPSfgux8u3vbUbI7zAU7?usp=sharing</v>
      </c>
      <c r="AO2" s="41">
        <f ca="1">IFERROR(__xludf.DUMMYFUNCTION("""COMPUTED_VALUE"""),3)</f>
        <v>3</v>
      </c>
      <c r="AP2" s="41">
        <f ca="1">IFERROR(__xludf.DUMMYFUNCTION("""COMPUTED_VALUE"""),5)</f>
        <v>5</v>
      </c>
      <c r="AQ2" s="41">
        <f ca="1">IFERROR(__xludf.DUMMYFUNCTION("""COMPUTED_VALUE"""),3)</f>
        <v>3</v>
      </c>
      <c r="AR2" s="42" t="str">
        <f ca="1">IFERROR(__xludf.DUMMYFUNCTION("""COMPUTED_VALUE"""),"https://drive.google.com/drive/folders/1hFJil7NFuL2WnIdNabQJIY68YLn7ByXF?usp=sharing")</f>
        <v>https://drive.google.com/drive/folders/1hFJil7NFuL2WnIdNabQJIY68YLn7ByXF?usp=sharing</v>
      </c>
      <c r="AS2" s="41">
        <f ca="1">IFERROR(__xludf.DUMMYFUNCTION("""COMPUTED_VALUE"""),3)</f>
        <v>3</v>
      </c>
      <c r="AT2" s="41">
        <f ca="1">IFERROR(__xludf.DUMMYFUNCTION("""COMPUTED_VALUE"""),4)</f>
        <v>4</v>
      </c>
      <c r="AU2" s="41">
        <f ca="1">IFERROR(__xludf.DUMMYFUNCTION("""COMPUTED_VALUE"""),3)</f>
        <v>3</v>
      </c>
      <c r="AV2" s="42" t="str">
        <f ca="1">IFERROR(__xludf.DUMMYFUNCTION("""COMPUTED_VALUE"""),"https://drive.google.com/drive/folders/18f5h6Q8sOQDR7nabuhG-9jqFEQqeZAUH?usp=sharing")</f>
        <v>https://drive.google.com/drive/folders/18f5h6Q8sOQDR7nabuhG-9jqFEQqeZAUH?usp=sharing</v>
      </c>
      <c r="AW2" s="41">
        <f ca="1">IFERROR(__xludf.DUMMYFUNCTION("""COMPUTED_VALUE"""),3)</f>
        <v>3</v>
      </c>
      <c r="AX2" s="41">
        <f ca="1">IFERROR(__xludf.DUMMYFUNCTION("""COMPUTED_VALUE"""),5)</f>
        <v>5</v>
      </c>
      <c r="AY2" s="41">
        <f ca="1">IFERROR(__xludf.DUMMYFUNCTION("""COMPUTED_VALUE"""),3)</f>
        <v>3</v>
      </c>
      <c r="AZ2" s="42" t="str">
        <f ca="1">IFERROR(__xludf.DUMMYFUNCTION("""COMPUTED_VALUE"""),"https://drive.google.com/drive/folders/11FXRdCx5HnX-H9Wt8460tyeW-YyRWn9C?usp=sharing")</f>
        <v>https://drive.google.com/drive/folders/11FXRdCx5HnX-H9Wt8460tyeW-YyRWn9C?usp=sharing</v>
      </c>
      <c r="BA2" s="41">
        <f ca="1">IFERROR(__xludf.DUMMYFUNCTION("""COMPUTED_VALUE"""),1)</f>
        <v>1</v>
      </c>
      <c r="BB2" s="41">
        <f ca="1">IFERROR(__xludf.DUMMYFUNCTION("""COMPUTED_VALUE"""),4)</f>
        <v>4</v>
      </c>
      <c r="BC2" s="41">
        <f ca="1">IFERROR(__xludf.DUMMYFUNCTION("""COMPUTED_VALUE"""),1)</f>
        <v>1</v>
      </c>
      <c r="BD2" s="42" t="str">
        <f ca="1">IFERROR(__xludf.DUMMYFUNCTION("""COMPUTED_VALUE"""),"https://drive.google.com/drive/folders/1PTABGdIinGF_tVAHLuwRUO9g4sl039DV?usp=sharing")</f>
        <v>https://drive.google.com/drive/folders/1PTABGdIinGF_tVAHLuwRUO9g4sl039DV?usp=sharing</v>
      </c>
      <c r="BE2" s="41">
        <f ca="1">IFERROR(__xludf.DUMMYFUNCTION("""COMPUTED_VALUE"""),2)</f>
        <v>2</v>
      </c>
      <c r="BF2" s="41">
        <f ca="1">IFERROR(__xludf.DUMMYFUNCTION("""COMPUTED_VALUE"""),4)</f>
        <v>4</v>
      </c>
      <c r="BG2" s="41">
        <f ca="1">IFERROR(__xludf.DUMMYFUNCTION("""COMPUTED_VALUE"""),2)</f>
        <v>2</v>
      </c>
      <c r="BH2" s="42" t="str">
        <f ca="1">IFERROR(__xludf.DUMMYFUNCTION("""COMPUTED_VALUE"""),"https://drive.google.com/drive/folders/1okn5PQejitmt7zDUzRongnwo4d8KnfYX?usp=sharing")</f>
        <v>https://drive.google.com/drive/folders/1okn5PQejitmt7zDUzRongnwo4d8KnfYX?usp=sharing</v>
      </c>
      <c r="BI2" s="41">
        <f ca="1">IFERROR(__xludf.DUMMYFUNCTION("""COMPUTED_VALUE"""),1)</f>
        <v>1</v>
      </c>
      <c r="BJ2" s="41">
        <f ca="1">IFERROR(__xludf.DUMMYFUNCTION("""COMPUTED_VALUE"""),3)</f>
        <v>3</v>
      </c>
      <c r="BK2" s="41">
        <f ca="1">IFERROR(__xludf.DUMMYFUNCTION("""COMPUTED_VALUE"""),1)</f>
        <v>1</v>
      </c>
      <c r="BL2" s="42" t="str">
        <f ca="1">IFERROR(__xludf.DUMMYFUNCTION("""COMPUTED_VALUE"""),"https://drive.google.com/drive/folders/11isQM2FXIYjqiCFc7X3fURANJvmo0ouJ?usp=sharing")</f>
        <v>https://drive.google.com/drive/folders/11isQM2FXIYjqiCFc7X3fURANJvmo0ouJ?usp=sharing</v>
      </c>
      <c r="BM2" s="41">
        <f ca="1">IFERROR(__xludf.DUMMYFUNCTION("""COMPUTED_VALUE"""),2)</f>
        <v>2</v>
      </c>
      <c r="BN2" s="41">
        <f ca="1">IFERROR(__xludf.DUMMYFUNCTION("""COMPUTED_VALUE"""),4)</f>
        <v>4</v>
      </c>
      <c r="BO2" s="41">
        <f ca="1">IFERROR(__xludf.DUMMYFUNCTION("""COMPUTED_VALUE"""),2)</f>
        <v>2</v>
      </c>
      <c r="BP2" s="42" t="str">
        <f ca="1">IFERROR(__xludf.DUMMYFUNCTION("""COMPUTED_VALUE"""),"https://drive.google.com/drive/folders/1okn5PQejitmt7zDUzRongnwo4d8KnfYX?usp=sharing")</f>
        <v>https://drive.google.com/drive/folders/1okn5PQejitmt7zDUzRongnwo4d8KnfYX?usp=sharing</v>
      </c>
      <c r="BQ2" s="41">
        <f ca="1">IFERROR(__xludf.DUMMYFUNCTION("""COMPUTED_VALUE"""),2)</f>
        <v>2</v>
      </c>
      <c r="BR2" s="41">
        <f ca="1">IFERROR(__xludf.DUMMYFUNCTION("""COMPUTED_VALUE"""),4)</f>
        <v>4</v>
      </c>
      <c r="BS2" s="41">
        <f ca="1">IFERROR(__xludf.DUMMYFUNCTION("""COMPUTED_VALUE"""),2)</f>
        <v>2</v>
      </c>
      <c r="BT2" s="42" t="str">
        <f ca="1">IFERROR(__xludf.DUMMYFUNCTION("""COMPUTED_VALUE"""),"https://drive.google.com/drive/folders/1dGwdIVzJC4F96R5JsP2BKGQLfAvDz1eh?usp=sharing")</f>
        <v>https://drive.google.com/drive/folders/1dGwdIVzJC4F96R5JsP2BKGQLfAvDz1eh?usp=sharing</v>
      </c>
      <c r="BU2" s="41">
        <f ca="1">IFERROR(__xludf.DUMMYFUNCTION("""COMPUTED_VALUE"""),1)</f>
        <v>1</v>
      </c>
      <c r="BV2" s="41">
        <f ca="1">IFERROR(__xludf.DUMMYFUNCTION("""COMPUTED_VALUE"""),4)</f>
        <v>4</v>
      </c>
      <c r="BW2" s="41">
        <f ca="1">IFERROR(__xludf.DUMMYFUNCTION("""COMPUTED_VALUE"""),1)</f>
        <v>1</v>
      </c>
      <c r="BX2" s="42" t="str">
        <f ca="1">IFERROR(__xludf.DUMMYFUNCTION("""COMPUTED_VALUE"""),"https://drive.google.com/drive/folders/1Hhr-OPEaQtLQyuWd3KhvPpVrRRzegum9?usp=sharing")</f>
        <v>https://drive.google.com/drive/folders/1Hhr-OPEaQtLQyuWd3KhvPpVrRRzegum9?usp=sharing</v>
      </c>
      <c r="BY2" s="41">
        <f ca="1">IFERROR(__xludf.DUMMYFUNCTION("""COMPUTED_VALUE"""),2)</f>
        <v>2</v>
      </c>
      <c r="BZ2" s="41">
        <f ca="1">IFERROR(__xludf.DUMMYFUNCTION("""COMPUTED_VALUE"""),5)</f>
        <v>5</v>
      </c>
      <c r="CA2" s="41">
        <f ca="1">IFERROR(__xludf.DUMMYFUNCTION("""COMPUTED_VALUE"""),2)</f>
        <v>2</v>
      </c>
      <c r="CB2" s="42" t="str">
        <f ca="1">IFERROR(__xludf.DUMMYFUNCTION("""COMPUTED_VALUE"""),"https://drive.google.com/drive/folders/1Hhr-OPEaQtLQyuWd3KhvPpVrRRzegum9?usp=sharing")</f>
        <v>https://drive.google.com/drive/folders/1Hhr-OPEaQtLQyuWd3KhvPpVrRRzegum9?usp=sharing</v>
      </c>
      <c r="CC2" s="41" t="str">
        <f ca="1">IFERROR(__xludf.DUMMYFUNCTION("""COMPUTED_VALUE"""),"Isi catatan: Susun Program Perencanaan Kegiatan untuk Penilaian Kinerja Kepala Sekolah.
Rekomendasi: Pelaksanaan/Progres agar mencapai target yang ditentukan ")</f>
        <v xml:space="preserve">Isi catatan: Susun Program Perencanaan Kegiatan untuk Penilaian Kinerja Kepala Sekolah.
Rekomendasi: Pelaksanaan/Progres agar mencapai target yang ditentukan </v>
      </c>
      <c r="CD2" s="66">
        <f t="array" aca="1" ref="CD2:CD10" ca="1">IF($A2:$A971&lt;&gt;"", (M2:M971+Q2:Q971+U2:U971+Y2:Y971+
AC2:AC971+AG2:AG971+AK2:AK971+
AO2:AO971+AS2:AS971+
AW2:AW971+
BA2:BA971+BE2:BE971+
BI2:BI971+BM2:BM971+BQ2:BQ971+BU2:BU971+BY2:BY971
)/17, "")</f>
        <v>1.9411764705882353</v>
      </c>
      <c r="CE2" s="67">
        <f t="array" aca="1" ref="CE2:CE10" ca="1">IF($A2:$A971&lt;&gt;"", (N2:N971+R2:R971+V2:V971+Z2:Z971+
AD2:AD971+AH2:AH971+AL2:AL971+
AP2:AP971+AT2:AT971+
AX2:AX971+
BB2:BB971+BF2:BF971+
BJ2:BJ971+BN2:BN971+BR2:BR971+BV2:BV971+BZ2:BZ971
)/17, "")</f>
        <v>4</v>
      </c>
      <c r="CF2" s="67">
        <f t="array" aca="1" ref="CF2:CF10" ca="1">IF($A2:$A971&lt;&gt;"", (O2:O971+S2:S971+W2:W971+AA2:AA971+
AE2:AE971+AI2:AI971+AM2:AM971+
AQ2:AQ971+AU2:AU971+
AY2:AY971+
BC2:BC971+BG2:BG971+
BK2:BK971+BO2:BO971+BS2:BS971+BW2:BW971+CA2:CA971
)/17, "")</f>
        <v>2.0588235294117645</v>
      </c>
      <c r="CG2" s="45">
        <f t="array" aca="1" ref="CG2:CG10" ca="1">IF($A2:$A971&lt;&gt;"", CF2:CF971 - CD2:CD971, "")</f>
        <v>0.11764705882352922</v>
      </c>
      <c r="CH2" s="68">
        <f t="array" aca="1" ref="CH2:CH10" ca="1">IF($A2:$A971&lt;&gt;"", (M2:M971+Q2:Q971+U2:U971+Y2:Y971
)/4, "")</f>
        <v>1.75</v>
      </c>
      <c r="CI2" s="68">
        <f t="array" aca="1" ref="CI2:CI10" ca="1">IF($A2:$A971&lt;&gt;"", (N2:N971+R2:R971+V2:V971+Z2:Z971
)/4, "")</f>
        <v>3.75</v>
      </c>
      <c r="CJ2" s="68">
        <f t="array" aca="1" ref="CJ2:CJ10" ca="1">IF($A2:$A971&lt;&gt;"", (O2:O971+S2:S971+W2:W971+AA2:AA971
)/4, "")</f>
        <v>2.25</v>
      </c>
      <c r="CK2" s="69">
        <f t="array" aca="1" ref="CK2:CK10" ca="1">IF($A2:$A971&lt;&gt;"", CJ2:CJ971 - CH2:CH971, "")</f>
        <v>0.5</v>
      </c>
      <c r="CL2" s="70">
        <f t="array" aca="1" ref="CL2:CL10" ca="1">IF($A2:$A971&lt;&gt;"", (
AC2:AC971+AG2:AG971+AK2:AK971
)/3, "")</f>
        <v>2</v>
      </c>
      <c r="CM2" s="70">
        <f t="array" aca="1" ref="CM2:CM10" ca="1">IF($A2:$A971&lt;&gt;"", (
AD2:AD971+AH2:AH971+AL2:AL971
)/3, "")</f>
        <v>3.6666666666666665</v>
      </c>
      <c r="CN2" s="70">
        <f t="array" aca="1" ref="CN2:CN10" ca="1">IF($A2:$A971&lt;&gt;"", (
AE2:AE971+AI2:AI971+AM2:AM971
)/3, "")</f>
        <v>2</v>
      </c>
      <c r="CO2" s="71">
        <f t="array" aca="1" ref="CO2:CO10" ca="1">IF($A2:$A971&lt;&gt;"", CN2:CN971 - CL2:CL971, "")</f>
        <v>0</v>
      </c>
      <c r="CP2" s="72">
        <f t="array" aca="1" ref="CP2:CP10" ca="1">IF($A2:$A971&lt;&gt;"", (
AO2:AO971+AS2:AS971
)/2, "")</f>
        <v>3</v>
      </c>
      <c r="CQ2" s="72">
        <f t="array" aca="1" ref="CQ2:CQ10" ca="1">IF($A2:$A971&lt;&gt;"", (
AP2:AP971+AT2:AT971
)/2, "")</f>
        <v>4.5</v>
      </c>
      <c r="CR2" s="72">
        <f t="array" aca="1" ref="CR2:CR10" ca="1">IF($A2:$A971&lt;&gt;"", (
AQ2:AQ971+AU2:AU971
)/2, "")</f>
        <v>3</v>
      </c>
      <c r="CS2" s="73">
        <f t="array" aca="1" ref="CS2:CS10" ca="1">IF($A2:$A971&lt;&gt;"", CR2:CR971 - CP2:CP971, "")</f>
        <v>0</v>
      </c>
      <c r="CT2" s="74">
        <f t="array" aca="1" ref="CT2:CT10" ca="1">IF($A2:$A971&lt;&gt;"", (
AW2:AW971
), "")</f>
        <v>3</v>
      </c>
      <c r="CU2" s="74">
        <f t="array" aca="1" ref="CU2:CU10" ca="1">IF($A2:$A971&lt;&gt;"", (
AX2:AX971
), "")</f>
        <v>5</v>
      </c>
      <c r="CV2" s="74">
        <f t="array" aca="1" ref="CV2:CV10" ca="1">IF($A2:$A971&lt;&gt;"", (
AY2:AY971
), "")</f>
        <v>3</v>
      </c>
      <c r="CW2" s="75">
        <f t="array" aca="1" ref="CW2:CW10" ca="1">IF($A2:$A971&lt;&gt;"", CV2:CV971 - CT2:CT971, "")</f>
        <v>0</v>
      </c>
      <c r="CX2" s="76">
        <f t="array" aca="1" ref="CX2:CX10" ca="1">IF($A2:$A971&lt;&gt;"", (
BA2:BA971+BE2:BE971
)/2, "")</f>
        <v>1.5</v>
      </c>
      <c r="CY2" s="76">
        <f t="array" aca="1" ref="CY2:CY10" ca="1">IF($A2:$A971&lt;&gt;"", (
BB2:BB971+BF2:BF971
)/2, "")</f>
        <v>4</v>
      </c>
      <c r="CZ2" s="76">
        <f t="array" aca="1" ref="CZ2:CZ10" ca="1">IF($A2:$A971&lt;&gt;"", (
BC2:BC971+BG2:BG971
)/2, "")</f>
        <v>1.5</v>
      </c>
      <c r="DA2" s="77">
        <f t="array" aca="1" ref="DA2:DA10" ca="1">IF($A2:$A971&lt;&gt;"", CZ2:CZ971 - CX2:CX971, "")</f>
        <v>0</v>
      </c>
      <c r="DB2" s="78">
        <f t="array" aca="1" ref="DB2:DB10" ca="1">IF($A2:$A971&lt;&gt;"", (
BI2:BI971+BM2:BM971+BQ2:BQ971+BU2:BU971+BY2:BY971
)/5, "")</f>
        <v>1.6</v>
      </c>
      <c r="DC2" s="78">
        <f t="array" aca="1" ref="DC2:DC10" ca="1">IF($A2:$A971&lt;&gt;"", (
BJ2:BJ971+BN2:BN971+BR2:BR971+BV2:BV971+BZ2:BZ971
)/5, "")</f>
        <v>4</v>
      </c>
      <c r="DD2" s="78">
        <f t="array" aca="1" ref="DD2:DD10" ca="1">IF($A2:$A971&lt;&gt;"", (
BK2:BK971+BO2:BO971+BS2:BS971+BW2:BW971+CA2:CA971
)/5, "")</f>
        <v>1.6</v>
      </c>
      <c r="DE2" s="79">
        <f t="array" aca="1" ref="DE2:DE10" ca="1">IF($A2:$A971&lt;&gt;"", DD2:DD971 - DB2:DB971, "")</f>
        <v>0</v>
      </c>
    </row>
    <row r="3" spans="1:129" x14ac:dyDescent="0.3">
      <c r="A3" s="65">
        <f ca="1">IFERROR(__xludf.DUMMYFUNCTION("""COMPUTED_VALUE"""),46109.4979101273)</f>
        <v>46109.497910127298</v>
      </c>
      <c r="B3" s="41" t="str">
        <f ca="1">IFERROR(__xludf.DUMMYFUNCTION("""COMPUTED_VALUE"""),"srisaragih023@dinas.belajar.id")</f>
        <v>srisaragih023@dinas.belajar.id</v>
      </c>
      <c r="C3" s="41">
        <f ca="1">IFERROR(__xludf.DUMMYFUNCTION("""COMPUTED_VALUE"""),69947457)</f>
        <v>69947457</v>
      </c>
      <c r="D3" s="41" t="str">
        <f ca="1">IFERROR(__xludf.DUMMYFUNCTION("""COMPUTED_VALUE"""),"Lubuk Pakam")</f>
        <v>Lubuk Pakam</v>
      </c>
      <c r="E3" s="41" t="str">
        <f ca="1">IFERROR(__xludf.DUMMYFUNCTION("""COMPUTED_VALUE"""),"TAMAN KANAK-KANAK")</f>
        <v>TAMAN KANAK-KANAK</v>
      </c>
      <c r="F3" s="41" t="str">
        <f ca="1">IFERROR(__xludf.DUMMYFUNCTION("""COMPUTED_VALUE"""),"UPT SPF TK NEGERI SATU ATAP 2 LUBUK PAKAM")</f>
        <v>UPT SPF TK NEGERI SATU ATAP 2 LUBUK PAKAM</v>
      </c>
      <c r="G3" s="41" t="str">
        <f ca="1">IFERROR(__xludf.DUMMYFUNCTION("""COMPUTED_VALUE"""),"SRI NILAWATI SARAGIH, S.Pd, M.Pd")</f>
        <v>SRI NILAWATI SARAGIH, S.Pd, M.Pd</v>
      </c>
      <c r="H3" s="41" t="str">
        <f ca="1">IFERROR(__xludf.DUMMYFUNCTION("""COMPUTED_VALUE"""),"081361406048")</f>
        <v>081361406048</v>
      </c>
      <c r="I3" s="41" t="str">
        <f ca="1">IFERROR(__xludf.DUMMYFUNCTION("""COMPUTED_VALUE"""),"SRI SUHERNI, S.Pd")</f>
        <v>SRI SUHERNI, S.Pd</v>
      </c>
      <c r="J3" s="41" t="str">
        <f ca="1">IFERROR(__xludf.DUMMYFUNCTION("""COMPUTED_VALUE"""),"082161474024")</f>
        <v>082161474024</v>
      </c>
      <c r="K3" s="41" t="str">
        <f ca="1">IFERROR(__xludf.DUMMYFUNCTION("""COMPUTED_VALUE"""),"Maret")</f>
        <v>Maret</v>
      </c>
      <c r="L3" s="41" t="str">
        <f ca="1">IFERROR(__xludf.DUMMYFUNCTION("""COMPUTED_VALUE"""),"IV")</f>
        <v>IV</v>
      </c>
      <c r="M3" s="41">
        <f ca="1">IFERROR(__xludf.DUMMYFUNCTION("""COMPUTED_VALUE"""),3)</f>
        <v>3</v>
      </c>
      <c r="N3" s="41">
        <f ca="1">IFERROR(__xludf.DUMMYFUNCTION("""COMPUTED_VALUE"""),4)</f>
        <v>4</v>
      </c>
      <c r="O3" s="41">
        <f ca="1">IFERROR(__xludf.DUMMYFUNCTION("""COMPUTED_VALUE"""),4)</f>
        <v>4</v>
      </c>
      <c r="P3" s="42" t="str">
        <f ca="1">IFERROR(__xludf.DUMMYFUNCTION("""COMPUTED_VALUE"""),"https://drive.google.com/drive/folders/1d_75eWS4w30Y0m4ooY9mrhwDkUq2qZTj?usp=sharing")</f>
        <v>https://drive.google.com/drive/folders/1d_75eWS4w30Y0m4ooY9mrhwDkUq2qZTj?usp=sharing</v>
      </c>
      <c r="Q3" s="41">
        <f ca="1">IFERROR(__xludf.DUMMYFUNCTION("""COMPUTED_VALUE"""),3)</f>
        <v>3</v>
      </c>
      <c r="R3" s="41">
        <f ca="1">IFERROR(__xludf.DUMMYFUNCTION("""COMPUTED_VALUE"""),4)</f>
        <v>4</v>
      </c>
      <c r="S3" s="41">
        <f ca="1">IFERROR(__xludf.DUMMYFUNCTION("""COMPUTED_VALUE"""),4)</f>
        <v>4</v>
      </c>
      <c r="T3" s="42" t="str">
        <f ca="1">IFERROR(__xludf.DUMMYFUNCTION("""COMPUTED_VALUE"""),"https://drive.google.com/drive/folders/1NnKvlPeiIya5BG812hArGo6Nuk-07h2T?usp=sharing")</f>
        <v>https://drive.google.com/drive/folders/1NnKvlPeiIya5BG812hArGo6Nuk-07h2T?usp=sharing</v>
      </c>
      <c r="U3" s="41">
        <f ca="1">IFERROR(__xludf.DUMMYFUNCTION("""COMPUTED_VALUE"""),2)</f>
        <v>2</v>
      </c>
      <c r="V3" s="41">
        <f ca="1">IFERROR(__xludf.DUMMYFUNCTION("""COMPUTED_VALUE"""),4)</f>
        <v>4</v>
      </c>
      <c r="W3" s="41">
        <f ca="1">IFERROR(__xludf.DUMMYFUNCTION("""COMPUTED_VALUE"""),2)</f>
        <v>2</v>
      </c>
      <c r="X3" s="42" t="str">
        <f ca="1">IFERROR(__xludf.DUMMYFUNCTION("""COMPUTED_VALUE"""),"https://drive.google.com/drive/folders/1LRH0yNpbMEsCBfxzp-MVHYaW8DgCczlo?usp=sharing")</f>
        <v>https://drive.google.com/drive/folders/1LRH0yNpbMEsCBfxzp-MVHYaW8DgCczlo?usp=sharing</v>
      </c>
      <c r="Y3" s="41">
        <f ca="1">IFERROR(__xludf.DUMMYFUNCTION("""COMPUTED_VALUE"""),1)</f>
        <v>1</v>
      </c>
      <c r="Z3" s="41">
        <f ca="1">IFERROR(__xludf.DUMMYFUNCTION("""COMPUTED_VALUE"""),3)</f>
        <v>3</v>
      </c>
      <c r="AA3" s="41">
        <f ca="1">IFERROR(__xludf.DUMMYFUNCTION("""COMPUTED_VALUE"""),1)</f>
        <v>1</v>
      </c>
      <c r="AB3" s="41" t="str">
        <f ca="1">IFERROR(__xludf.DUMMYFUNCTION("""COMPUTED_VALUE"""),"-")</f>
        <v>-</v>
      </c>
      <c r="AC3" s="41">
        <f ca="1">IFERROR(__xludf.DUMMYFUNCTION("""COMPUTED_VALUE"""),2)</f>
        <v>2</v>
      </c>
      <c r="AD3" s="41">
        <f ca="1">IFERROR(__xludf.DUMMYFUNCTION("""COMPUTED_VALUE"""),3)</f>
        <v>3</v>
      </c>
      <c r="AE3" s="41">
        <f ca="1">IFERROR(__xludf.DUMMYFUNCTION("""COMPUTED_VALUE"""),2)</f>
        <v>2</v>
      </c>
      <c r="AF3" s="42" t="str">
        <f ca="1">IFERROR(__xludf.DUMMYFUNCTION("""COMPUTED_VALUE"""),"https://drive.google.com/drive/folders/18VzRqId9mCGxBGTI2Dy4cpmFmpHh0o1b?usp=sharing")</f>
        <v>https://drive.google.com/drive/folders/18VzRqId9mCGxBGTI2Dy4cpmFmpHh0o1b?usp=sharing</v>
      </c>
      <c r="AG3" s="41">
        <f ca="1">IFERROR(__xludf.DUMMYFUNCTION("""COMPUTED_VALUE"""),2)</f>
        <v>2</v>
      </c>
      <c r="AH3" s="41">
        <f ca="1">IFERROR(__xludf.DUMMYFUNCTION("""COMPUTED_VALUE"""),4)</f>
        <v>4</v>
      </c>
      <c r="AI3" s="41">
        <f ca="1">IFERROR(__xludf.DUMMYFUNCTION("""COMPUTED_VALUE"""),2)</f>
        <v>2</v>
      </c>
      <c r="AJ3" s="42" t="str">
        <f ca="1">IFERROR(__xludf.DUMMYFUNCTION("""COMPUTED_VALUE"""),"https://drive.google.com/drive/folders/1yhMTaTQriJdUFU7yPDjrwKLvI81Ss6AE?usp=sharing")</f>
        <v>https://drive.google.com/drive/folders/1yhMTaTQriJdUFU7yPDjrwKLvI81Ss6AE?usp=sharing</v>
      </c>
      <c r="AK3" s="41">
        <f ca="1">IFERROR(__xludf.DUMMYFUNCTION("""COMPUTED_VALUE"""),2)</f>
        <v>2</v>
      </c>
      <c r="AL3" s="41">
        <f ca="1">IFERROR(__xludf.DUMMYFUNCTION("""COMPUTED_VALUE"""),4)</f>
        <v>4</v>
      </c>
      <c r="AM3" s="41">
        <f ca="1">IFERROR(__xludf.DUMMYFUNCTION("""COMPUTED_VALUE"""),2)</f>
        <v>2</v>
      </c>
      <c r="AN3" s="42" t="str">
        <f ca="1">IFERROR(__xludf.DUMMYFUNCTION("""COMPUTED_VALUE"""),"https://drive.google.com/drive/folders/1yhMTaTQriJdUFU7yPDjrwKLvI81Ss6AE?usp=sharing")</f>
        <v>https://drive.google.com/drive/folders/1yhMTaTQriJdUFU7yPDjrwKLvI81Ss6AE?usp=sharing</v>
      </c>
      <c r="AO3" s="41">
        <f ca="1">IFERROR(__xludf.DUMMYFUNCTION("""COMPUTED_VALUE"""),3)</f>
        <v>3</v>
      </c>
      <c r="AP3" s="41">
        <f ca="1">IFERROR(__xludf.DUMMYFUNCTION("""COMPUTED_VALUE"""),5)</f>
        <v>5</v>
      </c>
      <c r="AQ3" s="41">
        <f ca="1">IFERROR(__xludf.DUMMYFUNCTION("""COMPUTED_VALUE"""),3)</f>
        <v>3</v>
      </c>
      <c r="AR3" s="42" t="str">
        <f ca="1">IFERROR(__xludf.DUMMYFUNCTION("""COMPUTED_VALUE"""),"https://drive.google.com/drive/folders/1XOuiBACBi8BwyTeRKAQCrBiDC4hB5bjZ?usp=sharing")</f>
        <v>https://drive.google.com/drive/folders/1XOuiBACBi8BwyTeRKAQCrBiDC4hB5bjZ?usp=sharing</v>
      </c>
      <c r="AS3" s="41">
        <f ca="1">IFERROR(__xludf.DUMMYFUNCTION("""COMPUTED_VALUE"""),3)</f>
        <v>3</v>
      </c>
      <c r="AT3" s="41">
        <f ca="1">IFERROR(__xludf.DUMMYFUNCTION("""COMPUTED_VALUE"""),4)</f>
        <v>4</v>
      </c>
      <c r="AU3" s="41">
        <f ca="1">IFERROR(__xludf.DUMMYFUNCTION("""COMPUTED_VALUE"""),3)</f>
        <v>3</v>
      </c>
      <c r="AV3" s="42" t="str">
        <f ca="1">IFERROR(__xludf.DUMMYFUNCTION("""COMPUTED_VALUE"""),"https://drive.google.com/drive/folders/18f5h6Q8sOQDR7nabuhG-9jqFEQqeZAUH?usp=sharing")</f>
        <v>https://drive.google.com/drive/folders/18f5h6Q8sOQDR7nabuhG-9jqFEQqeZAUH?usp=sharing</v>
      </c>
      <c r="AW3" s="41">
        <f ca="1">IFERROR(__xludf.DUMMYFUNCTION("""COMPUTED_VALUE"""),3)</f>
        <v>3</v>
      </c>
      <c r="AX3" s="41">
        <f ca="1">IFERROR(__xludf.DUMMYFUNCTION("""COMPUTED_VALUE"""),5)</f>
        <v>5</v>
      </c>
      <c r="AY3" s="41">
        <f ca="1">IFERROR(__xludf.DUMMYFUNCTION("""COMPUTED_VALUE"""),3)</f>
        <v>3</v>
      </c>
      <c r="AZ3" s="42" t="str">
        <f ca="1">IFERROR(__xludf.DUMMYFUNCTION("""COMPUTED_VALUE"""),"https://drive.google.com/drive/folders/11FXRdCx5HnX-H9Wt8460tyeW-YyRWn9C?usp=sharing")</f>
        <v>https://drive.google.com/drive/folders/11FXRdCx5HnX-H9Wt8460tyeW-YyRWn9C?usp=sharing</v>
      </c>
      <c r="BA3" s="41">
        <f ca="1">IFERROR(__xludf.DUMMYFUNCTION("""COMPUTED_VALUE"""),2)</f>
        <v>2</v>
      </c>
      <c r="BB3" s="41">
        <f ca="1">IFERROR(__xludf.DUMMYFUNCTION("""COMPUTED_VALUE"""),4)</f>
        <v>4</v>
      </c>
      <c r="BC3" s="41">
        <f ca="1">IFERROR(__xludf.DUMMYFUNCTION("""COMPUTED_VALUE"""),3)</f>
        <v>3</v>
      </c>
      <c r="BD3" s="42" t="str">
        <f ca="1">IFERROR(__xludf.DUMMYFUNCTION("""COMPUTED_VALUE"""),"https://drive.google.com/drive/folders/1CqzRmL8FjkQZnELVI1iLHBZk5tVkYd-l?usp=sharing")</f>
        <v>https://drive.google.com/drive/folders/1CqzRmL8FjkQZnELVI1iLHBZk5tVkYd-l?usp=sharing</v>
      </c>
      <c r="BE3" s="41">
        <f ca="1">IFERROR(__xludf.DUMMYFUNCTION("""COMPUTED_VALUE"""),2)</f>
        <v>2</v>
      </c>
      <c r="BF3" s="41">
        <f ca="1">IFERROR(__xludf.DUMMYFUNCTION("""COMPUTED_VALUE"""),4)</f>
        <v>4</v>
      </c>
      <c r="BG3" s="41">
        <f ca="1">IFERROR(__xludf.DUMMYFUNCTION("""COMPUTED_VALUE"""),2)</f>
        <v>2</v>
      </c>
      <c r="BH3" s="42" t="str">
        <f ca="1">IFERROR(__xludf.DUMMYFUNCTION("""COMPUTED_VALUE"""),"https://drive.google.com/drive/folders/1CqzRmL8FjkQZnELVI1iLHBZk5tVkYd-l?usp=sharing")</f>
        <v>https://drive.google.com/drive/folders/1CqzRmL8FjkQZnELVI1iLHBZk5tVkYd-l?usp=sharing</v>
      </c>
      <c r="BI3" s="41">
        <f ca="1">IFERROR(__xludf.DUMMYFUNCTION("""COMPUTED_VALUE"""),1)</f>
        <v>1</v>
      </c>
      <c r="BJ3" s="41">
        <f ca="1">IFERROR(__xludf.DUMMYFUNCTION("""COMPUTED_VALUE"""),3)</f>
        <v>3</v>
      </c>
      <c r="BK3" s="41">
        <f ca="1">IFERROR(__xludf.DUMMYFUNCTION("""COMPUTED_VALUE"""),2)</f>
        <v>2</v>
      </c>
      <c r="BL3" s="42" t="str">
        <f ca="1">IFERROR(__xludf.DUMMYFUNCTION("""COMPUTED_VALUE"""),"https://drive.google.com/drive/folders/11isQM2FXIYjqiCFc7X3fURANJvmo0ouJ?usp=sharing")</f>
        <v>https://drive.google.com/drive/folders/11isQM2FXIYjqiCFc7X3fURANJvmo0ouJ?usp=sharing</v>
      </c>
      <c r="BM3" s="41">
        <f ca="1">IFERROR(__xludf.DUMMYFUNCTION("""COMPUTED_VALUE"""),2)</f>
        <v>2</v>
      </c>
      <c r="BN3" s="41">
        <f ca="1">IFERROR(__xludf.DUMMYFUNCTION("""COMPUTED_VALUE"""),4)</f>
        <v>4</v>
      </c>
      <c r="BO3" s="41">
        <f ca="1">IFERROR(__xludf.DUMMYFUNCTION("""COMPUTED_VALUE"""),3)</f>
        <v>3</v>
      </c>
      <c r="BP3" s="42" t="str">
        <f ca="1">IFERROR(__xludf.DUMMYFUNCTION("""COMPUTED_VALUE"""),"https://drive.google.com/drive/folders/1wCH6N2etwGQJW5FrA9boFT2E40SuDOLG?usp=sharing")</f>
        <v>https://drive.google.com/drive/folders/1wCH6N2etwGQJW5FrA9boFT2E40SuDOLG?usp=sharing</v>
      </c>
      <c r="BQ3" s="41">
        <f ca="1">IFERROR(__xludf.DUMMYFUNCTION("""COMPUTED_VALUE"""),2)</f>
        <v>2</v>
      </c>
      <c r="BR3" s="41">
        <f ca="1">IFERROR(__xludf.DUMMYFUNCTION("""COMPUTED_VALUE"""),4)</f>
        <v>4</v>
      </c>
      <c r="BS3" s="41">
        <f ca="1">IFERROR(__xludf.DUMMYFUNCTION("""COMPUTED_VALUE"""),2)</f>
        <v>2</v>
      </c>
      <c r="BT3" s="42" t="str">
        <f ca="1">IFERROR(__xludf.DUMMYFUNCTION("""COMPUTED_VALUE"""),"https://drive.google.com/drive/folders/1dGwdIVzJC4F96R5JsP2BKGQLfAvDz1eh?usp=sharing")</f>
        <v>https://drive.google.com/drive/folders/1dGwdIVzJC4F96R5JsP2BKGQLfAvDz1eh?usp=sharing</v>
      </c>
      <c r="BU3" s="41">
        <f ca="1">IFERROR(__xludf.DUMMYFUNCTION("""COMPUTED_VALUE"""),1)</f>
        <v>1</v>
      </c>
      <c r="BV3" s="41">
        <f ca="1">IFERROR(__xludf.DUMMYFUNCTION("""COMPUTED_VALUE"""),4)</f>
        <v>4</v>
      </c>
      <c r="BW3" s="41">
        <f ca="1">IFERROR(__xludf.DUMMYFUNCTION("""COMPUTED_VALUE"""),1)</f>
        <v>1</v>
      </c>
      <c r="BX3" s="42" t="str">
        <f ca="1">IFERROR(__xludf.DUMMYFUNCTION("""COMPUTED_VALUE"""),"https://drive.google.com/drive/folders/1Hhr-OPEaQtLQyuWd3KhvPpVrRRzegum9?usp=sharing")</f>
        <v>https://drive.google.com/drive/folders/1Hhr-OPEaQtLQyuWd3KhvPpVrRRzegum9?usp=sharing</v>
      </c>
      <c r="BY3" s="41">
        <f ca="1">IFERROR(__xludf.DUMMYFUNCTION("""COMPUTED_VALUE"""),4)</f>
        <v>4</v>
      </c>
      <c r="BZ3" s="41">
        <f ca="1">IFERROR(__xludf.DUMMYFUNCTION("""COMPUTED_VALUE"""),5)</f>
        <v>5</v>
      </c>
      <c r="CA3" s="41">
        <f ca="1">IFERROR(__xludf.DUMMYFUNCTION("""COMPUTED_VALUE"""),4)</f>
        <v>4</v>
      </c>
      <c r="CB3" s="42" t="str">
        <f ca="1">IFERROR(__xludf.DUMMYFUNCTION("""COMPUTED_VALUE"""),"https://drive.google.com/drive/folders/1vEWHfPPKVFb-L2-9VR8QFBjSi78n6Cee?usp=sharing")</f>
        <v>https://drive.google.com/drive/folders/1vEWHfPPKVFb-L2-9VR8QFBjSi78n6Cee?usp=sharing</v>
      </c>
      <c r="CC3" s="41" t="str">
        <f ca="1">IFERROR(__xludf.DUMMYFUNCTION("""COMPUTED_VALUE"""),"Catatan: Susun Program Perencanaan Kegiatan Untuk Penilaian Kinerja Kepala Sekolah.
Rekomendasi: Pelaksanaan/Progres Agar Mencapai Target yang di tentukan.")</f>
        <v>Catatan: Susun Program Perencanaan Kegiatan Untuk Penilaian Kinerja Kepala Sekolah.
Rekomendasi: Pelaksanaan/Progres Agar Mencapai Target yang di tentukan.</v>
      </c>
      <c r="CD3" s="66">
        <f ca="1"/>
        <v>2.2352941176470589</v>
      </c>
      <c r="CE3" s="67">
        <f ca="1"/>
        <v>4</v>
      </c>
      <c r="CF3" s="67">
        <f ca="1"/>
        <v>2.5294117647058822</v>
      </c>
      <c r="CG3" s="67">
        <f ca="1"/>
        <v>0.29411764705882337</v>
      </c>
      <c r="CH3" s="68">
        <f ca="1"/>
        <v>2.25</v>
      </c>
      <c r="CI3" s="68">
        <f ca="1"/>
        <v>3.75</v>
      </c>
      <c r="CJ3" s="68">
        <f ca="1"/>
        <v>2.75</v>
      </c>
      <c r="CK3" s="68">
        <f ca="1"/>
        <v>0.5</v>
      </c>
      <c r="CL3" s="70">
        <f ca="1"/>
        <v>2</v>
      </c>
      <c r="CM3" s="70">
        <f ca="1"/>
        <v>3.6666666666666665</v>
      </c>
      <c r="CN3" s="70">
        <f ca="1"/>
        <v>2</v>
      </c>
      <c r="CO3" s="70">
        <f ca="1"/>
        <v>0</v>
      </c>
      <c r="CP3" s="72">
        <f ca="1"/>
        <v>3</v>
      </c>
      <c r="CQ3" s="72">
        <f ca="1"/>
        <v>4.5</v>
      </c>
      <c r="CR3" s="72">
        <f ca="1"/>
        <v>3</v>
      </c>
      <c r="CS3" s="72">
        <f ca="1"/>
        <v>0</v>
      </c>
      <c r="CT3" s="74">
        <f ca="1"/>
        <v>3</v>
      </c>
      <c r="CU3" s="74">
        <f ca="1"/>
        <v>5</v>
      </c>
      <c r="CV3" s="74">
        <f ca="1"/>
        <v>3</v>
      </c>
      <c r="CW3" s="74">
        <f ca="1"/>
        <v>0</v>
      </c>
      <c r="CX3" s="76">
        <f ca="1"/>
        <v>2</v>
      </c>
      <c r="CY3" s="76">
        <f ca="1"/>
        <v>4</v>
      </c>
      <c r="CZ3" s="76">
        <f ca="1"/>
        <v>2.5</v>
      </c>
      <c r="DA3" s="76">
        <f ca="1"/>
        <v>0.5</v>
      </c>
      <c r="DB3" s="78">
        <f ca="1"/>
        <v>2</v>
      </c>
      <c r="DC3" s="78">
        <f ca="1"/>
        <v>4</v>
      </c>
      <c r="DD3" s="78">
        <f ca="1"/>
        <v>2.4</v>
      </c>
      <c r="DE3" s="78">
        <f ca="1"/>
        <v>0.39999999999999991</v>
      </c>
    </row>
    <row r="4" spans="1:129" x14ac:dyDescent="0.3">
      <c r="A4" s="65">
        <f ca="1">IFERROR(__xludf.DUMMYFUNCTION("""COMPUTED_VALUE"""),46109.5056925578)</f>
        <v>46109.505692557803</v>
      </c>
      <c r="B4" s="41" t="str">
        <f ca="1">IFERROR(__xludf.DUMMYFUNCTION("""COMPUTED_VALUE"""),"ningsihpengawas71@gmail.com")</f>
        <v>ningsihpengawas71@gmail.com</v>
      </c>
      <c r="C4" s="41">
        <f ca="1">IFERROR(__xludf.DUMMYFUNCTION("""COMPUTED_VALUE"""),69911292)</f>
        <v>69911292</v>
      </c>
      <c r="D4" s="41" t="str">
        <f ca="1">IFERROR(__xludf.DUMMYFUNCTION("""COMPUTED_VALUE"""),"Lubuk Pakam")</f>
        <v>Lubuk Pakam</v>
      </c>
      <c r="E4" s="41" t="str">
        <f ca="1">IFERROR(__xludf.DUMMYFUNCTION("""COMPUTED_VALUE"""),"TK")</f>
        <v>TK</v>
      </c>
      <c r="F4" s="41" t="str">
        <f ca="1">IFERROR(__xludf.DUMMYFUNCTION("""COMPUTED_VALUE"""),"UPT SPF TK NEGERI SATU ATAP 01 LUBUK PAKAM")</f>
        <v>UPT SPF TK NEGERI SATU ATAP 01 LUBUK PAKAM</v>
      </c>
      <c r="G4" s="41" t="str">
        <f ca="1">IFERROR(__xludf.DUMMYFUNCTION("""COMPUTED_VALUE"""),"Sumarti Ningsih, MPd")</f>
        <v>Sumarti Ningsih, MPd</v>
      </c>
      <c r="H4" s="41" t="str">
        <f ca="1">IFERROR(__xludf.DUMMYFUNCTION("""COMPUTED_VALUE"""),"081370120205")</f>
        <v>081370120205</v>
      </c>
      <c r="I4" s="41" t="str">
        <f ca="1">IFERROR(__xludf.DUMMYFUNCTION("""COMPUTED_VALUE"""),"MAWARNI, S.Pd. AUD")</f>
        <v>MAWARNI, S.Pd. AUD</v>
      </c>
      <c r="J4" s="41" t="str">
        <f ca="1">IFERROR(__xludf.DUMMYFUNCTION("""COMPUTED_VALUE"""),"081370437771")</f>
        <v>081370437771</v>
      </c>
      <c r="K4" s="41" t="str">
        <f ca="1">IFERROR(__xludf.DUMMYFUNCTION("""COMPUTED_VALUE"""),"Maret")</f>
        <v>Maret</v>
      </c>
      <c r="L4" s="41" t="str">
        <f ca="1">IFERROR(__xludf.DUMMYFUNCTION("""COMPUTED_VALUE"""),"I")</f>
        <v>I</v>
      </c>
      <c r="M4" s="41">
        <f ca="1">IFERROR(__xludf.DUMMYFUNCTION("""COMPUTED_VALUE"""),2)</f>
        <v>2</v>
      </c>
      <c r="N4" s="41">
        <f ca="1">IFERROR(__xludf.DUMMYFUNCTION("""COMPUTED_VALUE"""),4)</f>
        <v>4</v>
      </c>
      <c r="O4" s="41">
        <f ca="1">IFERROR(__xludf.DUMMYFUNCTION("""COMPUTED_VALUE"""),2)</f>
        <v>2</v>
      </c>
      <c r="P4" s="42" t="str">
        <f ca="1">IFERROR(__xludf.DUMMYFUNCTION("""COMPUTED_VALUE"""),"https://drive.google.com/drive/folders/11l-23zLvbXeA5UT_xP_4gaF1k4NZzyrK?usp=sharing")</f>
        <v>https://drive.google.com/drive/folders/11l-23zLvbXeA5UT_xP_4gaF1k4NZzyrK?usp=sharing</v>
      </c>
      <c r="Q4" s="41">
        <f ca="1">IFERROR(__xludf.DUMMYFUNCTION("""COMPUTED_VALUE"""),3)</f>
        <v>3</v>
      </c>
      <c r="R4" s="41">
        <f ca="1">IFERROR(__xludf.DUMMYFUNCTION("""COMPUTED_VALUE"""),4)</f>
        <v>4</v>
      </c>
      <c r="S4" s="41">
        <f ca="1">IFERROR(__xludf.DUMMYFUNCTION("""COMPUTED_VALUE"""),3)</f>
        <v>3</v>
      </c>
      <c r="T4" s="42" t="str">
        <f ca="1">IFERROR(__xludf.DUMMYFUNCTION("""COMPUTED_VALUE"""),"https://drive.google.com/drive/folders/1L3xIwleBhLkgD0roy8MGnwGbxpuTv342?usp=sharing")</f>
        <v>https://drive.google.com/drive/folders/1L3xIwleBhLkgD0roy8MGnwGbxpuTv342?usp=sharing</v>
      </c>
      <c r="U4" s="41">
        <f ca="1">IFERROR(__xludf.DUMMYFUNCTION("""COMPUTED_VALUE"""),3)</f>
        <v>3</v>
      </c>
      <c r="V4" s="41">
        <f ca="1">IFERROR(__xludf.DUMMYFUNCTION("""COMPUTED_VALUE"""),4)</f>
        <v>4</v>
      </c>
      <c r="W4" s="41">
        <f ca="1">IFERROR(__xludf.DUMMYFUNCTION("""COMPUTED_VALUE"""),3)</f>
        <v>3</v>
      </c>
      <c r="X4" s="42" t="str">
        <f ca="1">IFERROR(__xludf.DUMMYFUNCTION("""COMPUTED_VALUE"""),"https://drive.google.com/drive/folders/1316kRs9TbOXThjZovYRii7QCjK5HrPDW?usp=sharing")</f>
        <v>https://drive.google.com/drive/folders/1316kRs9TbOXThjZovYRii7QCjK5HrPDW?usp=sharing</v>
      </c>
      <c r="Y4" s="41">
        <f ca="1">IFERROR(__xludf.DUMMYFUNCTION("""COMPUTED_VALUE"""),2)</f>
        <v>2</v>
      </c>
      <c r="Z4" s="41">
        <f ca="1">IFERROR(__xludf.DUMMYFUNCTION("""COMPUTED_VALUE"""),3)</f>
        <v>3</v>
      </c>
      <c r="AA4" s="41">
        <f ca="1">IFERROR(__xludf.DUMMYFUNCTION("""COMPUTED_VALUE"""),2)</f>
        <v>2</v>
      </c>
      <c r="AB4" s="42" t="str">
        <f ca="1">IFERROR(__xludf.DUMMYFUNCTION("""COMPUTED_VALUE"""),"https://drive.google.com/drive/folders/1OsuB3JWxEBCgMv-kBDOXLoI6bmRwT7aM?usp=sharing")</f>
        <v>https://drive.google.com/drive/folders/1OsuB3JWxEBCgMv-kBDOXLoI6bmRwT7aM?usp=sharing</v>
      </c>
      <c r="AC4" s="41">
        <f ca="1">IFERROR(__xludf.DUMMYFUNCTION("""COMPUTED_VALUE"""),2)</f>
        <v>2</v>
      </c>
      <c r="AD4" s="41">
        <f ca="1">IFERROR(__xludf.DUMMYFUNCTION("""COMPUTED_VALUE"""),3)</f>
        <v>3</v>
      </c>
      <c r="AE4" s="41">
        <f ca="1">IFERROR(__xludf.DUMMYFUNCTION("""COMPUTED_VALUE"""),2)</f>
        <v>2</v>
      </c>
      <c r="AF4" s="42" t="str">
        <f ca="1">IFERROR(__xludf.DUMMYFUNCTION("""COMPUTED_VALUE"""),"https://drive.google.com/drive/folders/1KYbq4EqtrjEnKWeVKeeQBE3wcoYWkcHq?usp=sharing")</f>
        <v>https://drive.google.com/drive/folders/1KYbq4EqtrjEnKWeVKeeQBE3wcoYWkcHq?usp=sharing</v>
      </c>
      <c r="AG4" s="41">
        <f ca="1">IFERROR(__xludf.DUMMYFUNCTION("""COMPUTED_VALUE"""),1)</f>
        <v>1</v>
      </c>
      <c r="AH4" s="41">
        <f ca="1">IFERROR(__xludf.DUMMYFUNCTION("""COMPUTED_VALUE"""),2)</f>
        <v>2</v>
      </c>
      <c r="AI4" s="41">
        <f ca="1">IFERROR(__xludf.DUMMYFUNCTION("""COMPUTED_VALUE"""),1)</f>
        <v>1</v>
      </c>
      <c r="AJ4" s="42" t="str">
        <f ca="1">IFERROR(__xludf.DUMMYFUNCTION("""COMPUTED_VALUE"""),"https://drive.google.com/drive/folders/1ndxbzrtRWgEm2pe224mroXcFCzZqpdww?usp=sharing")</f>
        <v>https://drive.google.com/drive/folders/1ndxbzrtRWgEm2pe224mroXcFCzZqpdww?usp=sharing</v>
      </c>
      <c r="AK4" s="41">
        <f ca="1">IFERROR(__xludf.DUMMYFUNCTION("""COMPUTED_VALUE"""),2)</f>
        <v>2</v>
      </c>
      <c r="AL4" s="41">
        <f ca="1">IFERROR(__xludf.DUMMYFUNCTION("""COMPUTED_VALUE"""),3)</f>
        <v>3</v>
      </c>
      <c r="AM4" s="41">
        <f ca="1">IFERROR(__xludf.DUMMYFUNCTION("""COMPUTED_VALUE"""),2)</f>
        <v>2</v>
      </c>
      <c r="AN4" s="42" t="str">
        <f ca="1">IFERROR(__xludf.DUMMYFUNCTION("""COMPUTED_VALUE"""),"https://drive.google.com/drive/folders/1Ly8MDKuqNbsGb0Yb-eLS_kUNCwk9yD95?usp=sharing")</f>
        <v>https://drive.google.com/drive/folders/1Ly8MDKuqNbsGb0Yb-eLS_kUNCwk9yD95?usp=sharing</v>
      </c>
      <c r="AO4" s="41">
        <f ca="1">IFERROR(__xludf.DUMMYFUNCTION("""COMPUTED_VALUE"""),3)</f>
        <v>3</v>
      </c>
      <c r="AP4" s="41">
        <f ca="1">IFERROR(__xludf.DUMMYFUNCTION("""COMPUTED_VALUE"""),4)</f>
        <v>4</v>
      </c>
      <c r="AQ4" s="41">
        <f ca="1">IFERROR(__xludf.DUMMYFUNCTION("""COMPUTED_VALUE"""),3)</f>
        <v>3</v>
      </c>
      <c r="AR4" s="42" t="str">
        <f ca="1">IFERROR(__xludf.DUMMYFUNCTION("""COMPUTED_VALUE"""),"https://drive.google.com/drive/folders/1CI8r4DoEDFggoJEGiLjM3iud1PXucGhI?usp=sharing")</f>
        <v>https://drive.google.com/drive/folders/1CI8r4DoEDFggoJEGiLjM3iud1PXucGhI?usp=sharing</v>
      </c>
      <c r="AS4" s="41">
        <f ca="1">IFERROR(__xludf.DUMMYFUNCTION("""COMPUTED_VALUE"""),2)</f>
        <v>2</v>
      </c>
      <c r="AT4" s="41">
        <f ca="1">IFERROR(__xludf.DUMMYFUNCTION("""COMPUTED_VALUE"""),3)</f>
        <v>3</v>
      </c>
      <c r="AU4" s="41">
        <f ca="1">IFERROR(__xludf.DUMMYFUNCTION("""COMPUTED_VALUE"""),2)</f>
        <v>2</v>
      </c>
      <c r="AV4" s="42" t="str">
        <f ca="1">IFERROR(__xludf.DUMMYFUNCTION("""COMPUTED_VALUE"""),"https://drive.google.com/drive/folders/1xwWHZRDzzPZdPJ9Zikc-qH1YNyTs0c8x?usp=sharing")</f>
        <v>https://drive.google.com/drive/folders/1xwWHZRDzzPZdPJ9Zikc-qH1YNyTs0c8x?usp=sharing</v>
      </c>
      <c r="AW4" s="41">
        <f ca="1">IFERROR(__xludf.DUMMYFUNCTION("""COMPUTED_VALUE"""),3)</f>
        <v>3</v>
      </c>
      <c r="AX4" s="41">
        <f ca="1">IFERROR(__xludf.DUMMYFUNCTION("""COMPUTED_VALUE"""),4)</f>
        <v>4</v>
      </c>
      <c r="AY4" s="41">
        <f ca="1">IFERROR(__xludf.DUMMYFUNCTION("""COMPUTED_VALUE"""),3)</f>
        <v>3</v>
      </c>
      <c r="AZ4" s="42" t="str">
        <f ca="1">IFERROR(__xludf.DUMMYFUNCTION("""COMPUTED_VALUE"""),"https://drive.google.com/drive/folders/1tZkSlF-2Pziq09A6Md0GKTHb9DerGt1k?usp=sharing")</f>
        <v>https://drive.google.com/drive/folders/1tZkSlF-2Pziq09A6Md0GKTHb9DerGt1k?usp=sharing</v>
      </c>
      <c r="BA4" s="41">
        <f ca="1">IFERROR(__xludf.DUMMYFUNCTION("""COMPUTED_VALUE"""),2)</f>
        <v>2</v>
      </c>
      <c r="BB4" s="41">
        <f ca="1">IFERROR(__xludf.DUMMYFUNCTION("""COMPUTED_VALUE"""),3)</f>
        <v>3</v>
      </c>
      <c r="BC4" s="41">
        <f ca="1">IFERROR(__xludf.DUMMYFUNCTION("""COMPUTED_VALUE"""),2)</f>
        <v>2</v>
      </c>
      <c r="BD4" s="42" t="str">
        <f ca="1">IFERROR(__xludf.DUMMYFUNCTION("""COMPUTED_VALUE"""),"https://drive.google.com/drive/folders/1AsWFIbufVKJF89qpTNk5r2Q-WYBOzk-G?usp=sharing")</f>
        <v>https://drive.google.com/drive/folders/1AsWFIbufVKJF89qpTNk5r2Q-WYBOzk-G?usp=sharing</v>
      </c>
      <c r="BE4" s="41">
        <f ca="1">IFERROR(__xludf.DUMMYFUNCTION("""COMPUTED_VALUE"""),3)</f>
        <v>3</v>
      </c>
      <c r="BF4" s="41">
        <f ca="1">IFERROR(__xludf.DUMMYFUNCTION("""COMPUTED_VALUE"""),4)</f>
        <v>4</v>
      </c>
      <c r="BG4" s="41">
        <f ca="1">IFERROR(__xludf.DUMMYFUNCTION("""COMPUTED_VALUE"""),3)</f>
        <v>3</v>
      </c>
      <c r="BH4" s="42" t="str">
        <f ca="1">IFERROR(__xludf.DUMMYFUNCTION("""COMPUTED_VALUE"""),"https://drive.google.com/drive/folders/1eyDg2w-bTDQqHOQfGWHrOTu-bhd3bdX8?usp=sharing")</f>
        <v>https://drive.google.com/drive/folders/1eyDg2w-bTDQqHOQfGWHrOTu-bhd3bdX8?usp=sharing</v>
      </c>
      <c r="BI4" s="41">
        <f ca="1">IFERROR(__xludf.DUMMYFUNCTION("""COMPUTED_VALUE"""),2)</f>
        <v>2</v>
      </c>
      <c r="BJ4" s="41">
        <f ca="1">IFERROR(__xludf.DUMMYFUNCTION("""COMPUTED_VALUE"""),3)</f>
        <v>3</v>
      </c>
      <c r="BK4" s="41">
        <f ca="1">IFERROR(__xludf.DUMMYFUNCTION("""COMPUTED_VALUE"""),2)</f>
        <v>2</v>
      </c>
      <c r="BL4" s="42" t="str">
        <f ca="1">IFERROR(__xludf.DUMMYFUNCTION("""COMPUTED_VALUE"""),"https://drive.google.com/drive/folders/1yshq_N6gQffhaiMJ0xk_fOCOh0gCSXec?usp=sharing")</f>
        <v>https://drive.google.com/drive/folders/1yshq_N6gQffhaiMJ0xk_fOCOh0gCSXec?usp=sharing</v>
      </c>
      <c r="BM4" s="41">
        <f ca="1">IFERROR(__xludf.DUMMYFUNCTION("""COMPUTED_VALUE"""),2)</f>
        <v>2</v>
      </c>
      <c r="BN4" s="41">
        <f ca="1">IFERROR(__xludf.DUMMYFUNCTION("""COMPUTED_VALUE"""),3)</f>
        <v>3</v>
      </c>
      <c r="BO4" s="41">
        <f ca="1">IFERROR(__xludf.DUMMYFUNCTION("""COMPUTED_VALUE"""),2)</f>
        <v>2</v>
      </c>
      <c r="BP4" s="42" t="str">
        <f ca="1">IFERROR(__xludf.DUMMYFUNCTION("""COMPUTED_VALUE"""),"https://drive.google.com/drive/folders/1Zch39L864gSVJf8cV0s19rGYq_T6FkKk?usp=sharing")</f>
        <v>https://drive.google.com/drive/folders/1Zch39L864gSVJf8cV0s19rGYq_T6FkKk?usp=sharing</v>
      </c>
      <c r="BQ4" s="41">
        <f ca="1">IFERROR(__xludf.DUMMYFUNCTION("""COMPUTED_VALUE"""),3)</f>
        <v>3</v>
      </c>
      <c r="BR4" s="41">
        <f ca="1">IFERROR(__xludf.DUMMYFUNCTION("""COMPUTED_VALUE"""),4)</f>
        <v>4</v>
      </c>
      <c r="BS4" s="41">
        <f ca="1">IFERROR(__xludf.DUMMYFUNCTION("""COMPUTED_VALUE"""),3)</f>
        <v>3</v>
      </c>
      <c r="BT4" s="42" t="str">
        <f ca="1">IFERROR(__xludf.DUMMYFUNCTION("""COMPUTED_VALUE"""),"https://drive.google.com/drive/folders/16heYDIP-wuLc8iyFYYCiFiT6DRhdrSlU?usp=sharing")</f>
        <v>https://drive.google.com/drive/folders/16heYDIP-wuLc8iyFYYCiFiT6DRhdrSlU?usp=sharing</v>
      </c>
      <c r="BU4" s="41">
        <f ca="1">IFERROR(__xludf.DUMMYFUNCTION("""COMPUTED_VALUE"""),2)</f>
        <v>2</v>
      </c>
      <c r="BV4" s="41">
        <f ca="1">IFERROR(__xludf.DUMMYFUNCTION("""COMPUTED_VALUE"""),3)</f>
        <v>3</v>
      </c>
      <c r="BW4" s="41">
        <f ca="1">IFERROR(__xludf.DUMMYFUNCTION("""COMPUTED_VALUE"""),2)</f>
        <v>2</v>
      </c>
      <c r="BX4" s="42" t="str">
        <f ca="1">IFERROR(__xludf.DUMMYFUNCTION("""COMPUTED_VALUE"""),"https://drive.google.com/drive/folders/1vwToAzLzxISkwwwE61JHQlAv7-nbFlgY?usp=sharing")</f>
        <v>https://drive.google.com/drive/folders/1vwToAzLzxISkwwwE61JHQlAv7-nbFlgY?usp=sharing</v>
      </c>
      <c r="BY4" s="41">
        <f ca="1">IFERROR(__xludf.DUMMYFUNCTION("""COMPUTED_VALUE"""),4)</f>
        <v>4</v>
      </c>
      <c r="BZ4" s="41">
        <f ca="1">IFERROR(__xludf.DUMMYFUNCTION("""COMPUTED_VALUE"""),4)</f>
        <v>4</v>
      </c>
      <c r="CA4" s="41">
        <f ca="1">IFERROR(__xludf.DUMMYFUNCTION("""COMPUTED_VALUE"""),4)</f>
        <v>4</v>
      </c>
      <c r="CB4" s="42" t="str">
        <f ca="1">IFERROR(__xludf.DUMMYFUNCTION("""COMPUTED_VALUE"""),"https://drive.google.com/drive/folders/149bjnyNozcFh-5e2YheGXPMWLIM59p5r?usp=sharing")</f>
        <v>https://drive.google.com/drive/folders/149bjnyNozcFh-5e2YheGXPMWLIM59p5r?usp=sharing</v>
      </c>
      <c r="CC4" s="41" t="str">
        <f ca="1">IFERROR(__xludf.DUMMYFUNCTION("""COMPUTED_VALUE"""),"PENILAIAN INI MEMBUAT KAMI LEBIH BERSEMANGAT LAGI DALAM PENGEMBANGAN DAN PERBAIKAN SATUAN PENDIDIKAN DARI SEGALA ASPEK")</f>
        <v>PENILAIAN INI MEMBUAT KAMI LEBIH BERSEMANGAT LAGI DALAM PENGEMBANGAN DAN PERBAIKAN SATUAN PENDIDIKAN DARI SEGALA ASPEK</v>
      </c>
      <c r="CD4" s="66">
        <f ca="1"/>
        <v>2.4117647058823528</v>
      </c>
      <c r="CE4" s="67">
        <f ca="1"/>
        <v>3.4117647058823528</v>
      </c>
      <c r="CF4" s="67">
        <f ca="1"/>
        <v>2.4117647058823528</v>
      </c>
      <c r="CG4" s="67">
        <f ca="1"/>
        <v>0</v>
      </c>
      <c r="CH4" s="68">
        <f ca="1"/>
        <v>2.5</v>
      </c>
      <c r="CI4" s="68">
        <f ca="1"/>
        <v>3.75</v>
      </c>
      <c r="CJ4" s="68">
        <f ca="1"/>
        <v>2.5</v>
      </c>
      <c r="CK4" s="68">
        <f ca="1"/>
        <v>0</v>
      </c>
      <c r="CL4" s="70">
        <f ca="1"/>
        <v>1.6666666666666667</v>
      </c>
      <c r="CM4" s="70">
        <f ca="1"/>
        <v>2.6666666666666665</v>
      </c>
      <c r="CN4" s="70">
        <f ca="1"/>
        <v>1.6666666666666667</v>
      </c>
      <c r="CO4" s="70">
        <f ca="1"/>
        <v>0</v>
      </c>
      <c r="CP4" s="72">
        <f ca="1"/>
        <v>2.5</v>
      </c>
      <c r="CQ4" s="72">
        <f ca="1"/>
        <v>3.5</v>
      </c>
      <c r="CR4" s="72">
        <f ca="1"/>
        <v>2.5</v>
      </c>
      <c r="CS4" s="72">
        <f ca="1"/>
        <v>0</v>
      </c>
      <c r="CT4" s="74">
        <f ca="1"/>
        <v>3</v>
      </c>
      <c r="CU4" s="74">
        <f ca="1"/>
        <v>4</v>
      </c>
      <c r="CV4" s="74">
        <f ca="1"/>
        <v>3</v>
      </c>
      <c r="CW4" s="74">
        <f ca="1"/>
        <v>0</v>
      </c>
      <c r="CX4" s="76">
        <f ca="1"/>
        <v>2.5</v>
      </c>
      <c r="CY4" s="76">
        <f ca="1"/>
        <v>3.5</v>
      </c>
      <c r="CZ4" s="76">
        <f ca="1"/>
        <v>2.5</v>
      </c>
      <c r="DA4" s="76">
        <f ca="1"/>
        <v>0</v>
      </c>
      <c r="DB4" s="78">
        <f ca="1"/>
        <v>2.6</v>
      </c>
      <c r="DC4" s="78">
        <f ca="1"/>
        <v>3.4</v>
      </c>
      <c r="DD4" s="78">
        <f ca="1"/>
        <v>2.6</v>
      </c>
      <c r="DE4" s="78">
        <f ca="1"/>
        <v>0</v>
      </c>
    </row>
    <row r="5" spans="1:129" x14ac:dyDescent="0.3">
      <c r="A5" s="65">
        <f ca="1">IFERROR(__xludf.DUMMYFUNCTION("""COMPUTED_VALUE"""),46109.516358368)</f>
        <v>46109.516358367997</v>
      </c>
      <c r="B5" s="41" t="str">
        <f ca="1">IFERROR(__xludf.DUMMYFUNCTION("""COMPUTED_VALUE"""),"etirahmayani79@admin.paud.belajar.id")</f>
        <v>etirahmayani79@admin.paud.belajar.id</v>
      </c>
      <c r="C5" s="41">
        <f ca="1">IFERROR(__xludf.DUMMYFUNCTION("""COMPUTED_VALUE"""),69762910)</f>
        <v>69762910</v>
      </c>
      <c r="D5" s="41" t="str">
        <f ca="1">IFERROR(__xludf.DUMMYFUNCTION("""COMPUTED_VALUE"""),"Tanjung Morawa")</f>
        <v>Tanjung Morawa</v>
      </c>
      <c r="E5" s="41" t="str">
        <f ca="1">IFERROR(__xludf.DUMMYFUNCTION("""COMPUTED_VALUE"""),"TK")</f>
        <v>TK</v>
      </c>
      <c r="F5" s="41" t="str">
        <f ca="1">IFERROR(__xludf.DUMMYFUNCTION("""COMPUTED_VALUE"""),"UPT SPF TK NEGERI SATU ATAP 01 TANJUNG MORAWA")</f>
        <v>UPT SPF TK NEGERI SATU ATAP 01 TANJUNG MORAWA</v>
      </c>
      <c r="G5" s="41" t="str">
        <f ca="1">IFERROR(__xludf.DUMMYFUNCTION("""COMPUTED_VALUE"""),"Budiman Lubis, S.Pd., M.Pd")</f>
        <v>Budiman Lubis, S.Pd., M.Pd</v>
      </c>
      <c r="H5" s="41" t="str">
        <f ca="1">IFERROR(__xludf.DUMMYFUNCTION("""COMPUTED_VALUE"""),"081361336931")</f>
        <v>081361336931</v>
      </c>
      <c r="I5" s="41" t="str">
        <f ca="1">IFERROR(__xludf.DUMMYFUNCTION("""COMPUTED_VALUE"""),"Eti Rahmayani, S.Pd")</f>
        <v>Eti Rahmayani, S.Pd</v>
      </c>
      <c r="J5" s="41" t="str">
        <f ca="1">IFERROR(__xludf.DUMMYFUNCTION("""COMPUTED_VALUE"""),"082363385042")</f>
        <v>082363385042</v>
      </c>
      <c r="K5" s="41" t="str">
        <f ca="1">IFERROR(__xludf.DUMMYFUNCTION("""COMPUTED_VALUE"""),"Maret")</f>
        <v>Maret</v>
      </c>
      <c r="L5" s="41" t="str">
        <f ca="1">IFERROR(__xludf.DUMMYFUNCTION("""COMPUTED_VALUE"""),"I")</f>
        <v>I</v>
      </c>
      <c r="M5" s="41">
        <f ca="1">IFERROR(__xludf.DUMMYFUNCTION("""COMPUTED_VALUE"""),2)</f>
        <v>2</v>
      </c>
      <c r="N5" s="41">
        <f ca="1">IFERROR(__xludf.DUMMYFUNCTION("""COMPUTED_VALUE"""),3)</f>
        <v>3</v>
      </c>
      <c r="O5" s="41">
        <f ca="1">IFERROR(__xludf.DUMMYFUNCTION("""COMPUTED_VALUE"""),3)</f>
        <v>3</v>
      </c>
      <c r="P5" s="42" t="str">
        <f ca="1">IFERROR(__xludf.DUMMYFUNCTION("""COMPUTED_VALUE"""),"https://drive.google.com/file/d/1Hpqd5Yb6Onnh8-DH9jEDomLO1tQCuA2j/view?usp=drive_link")</f>
        <v>https://drive.google.com/file/d/1Hpqd5Yb6Onnh8-DH9jEDomLO1tQCuA2j/view?usp=drive_link</v>
      </c>
      <c r="Q5" s="41">
        <f ca="1">IFERROR(__xludf.DUMMYFUNCTION("""COMPUTED_VALUE"""),2)</f>
        <v>2</v>
      </c>
      <c r="R5" s="41">
        <f ca="1">IFERROR(__xludf.DUMMYFUNCTION("""COMPUTED_VALUE"""),3)</f>
        <v>3</v>
      </c>
      <c r="S5" s="41">
        <f ca="1">IFERROR(__xludf.DUMMYFUNCTION("""COMPUTED_VALUE"""),3)</f>
        <v>3</v>
      </c>
      <c r="T5" s="42" t="str">
        <f ca="1">IFERROR(__xludf.DUMMYFUNCTION("""COMPUTED_VALUE"""),"https://drive.google.com/file/d/1R67FaTEABjvPmdurEneV8FjlASizp9ry/view?usp=drive_link")</f>
        <v>https://drive.google.com/file/d/1R67FaTEABjvPmdurEneV8FjlASizp9ry/view?usp=drive_link</v>
      </c>
      <c r="U5" s="41">
        <f ca="1">IFERROR(__xludf.DUMMYFUNCTION("""COMPUTED_VALUE"""),1)</f>
        <v>1</v>
      </c>
      <c r="V5" s="41">
        <f ca="1">IFERROR(__xludf.DUMMYFUNCTION("""COMPUTED_VALUE"""),2)</f>
        <v>2</v>
      </c>
      <c r="W5" s="41">
        <f ca="1">IFERROR(__xludf.DUMMYFUNCTION("""COMPUTED_VALUE"""),2)</f>
        <v>2</v>
      </c>
      <c r="X5" s="42" t="str">
        <f ca="1">IFERROR(__xludf.DUMMYFUNCTION("""COMPUTED_VALUE"""),"https://drive.google.com/file/d/1XAqQc0KAcPLpkRwT38ITg6m2cNATqi7h/view?usp=drive_link")</f>
        <v>https://drive.google.com/file/d/1XAqQc0KAcPLpkRwT38ITg6m2cNATqi7h/view?usp=drive_link</v>
      </c>
      <c r="Y5" s="41">
        <f ca="1">IFERROR(__xludf.DUMMYFUNCTION("""COMPUTED_VALUE"""),2)</f>
        <v>2</v>
      </c>
      <c r="Z5" s="41">
        <f ca="1">IFERROR(__xludf.DUMMYFUNCTION("""COMPUTED_VALUE"""),2)</f>
        <v>2</v>
      </c>
      <c r="AA5" s="41">
        <f ca="1">IFERROR(__xludf.DUMMYFUNCTION("""COMPUTED_VALUE"""),2)</f>
        <v>2</v>
      </c>
      <c r="AB5" s="42" t="str">
        <f ca="1">IFERROR(__xludf.DUMMYFUNCTION("""COMPUTED_VALUE"""),"https://drive.google.com/file/d/1dG8Hd_M5GscTug_ohFWhjJ-g8EDeSea1/view?usp=drive_link")</f>
        <v>https://drive.google.com/file/d/1dG8Hd_M5GscTug_ohFWhjJ-g8EDeSea1/view?usp=drive_link</v>
      </c>
      <c r="AC5" s="41">
        <f ca="1">IFERROR(__xludf.DUMMYFUNCTION("""COMPUTED_VALUE"""),2)</f>
        <v>2</v>
      </c>
      <c r="AD5" s="41">
        <f ca="1">IFERROR(__xludf.DUMMYFUNCTION("""COMPUTED_VALUE"""),2)</f>
        <v>2</v>
      </c>
      <c r="AE5" s="41">
        <f ca="1">IFERROR(__xludf.DUMMYFUNCTION("""COMPUTED_VALUE"""),2)</f>
        <v>2</v>
      </c>
      <c r="AF5" s="42" t="str">
        <f ca="1">IFERROR(__xludf.DUMMYFUNCTION("""COMPUTED_VALUE"""),"https://drive.google.com/file/d/1O5gbuPVjJAyyrau8L2SVaFTawU4whusU/view?usp=drive_link")</f>
        <v>https://drive.google.com/file/d/1O5gbuPVjJAyyrau8L2SVaFTawU4whusU/view?usp=drive_link</v>
      </c>
      <c r="AG5" s="41">
        <f ca="1">IFERROR(__xludf.DUMMYFUNCTION("""COMPUTED_VALUE"""),2)</f>
        <v>2</v>
      </c>
      <c r="AH5" s="41">
        <f ca="1">IFERROR(__xludf.DUMMYFUNCTION("""COMPUTED_VALUE"""),2)</f>
        <v>2</v>
      </c>
      <c r="AI5" s="41">
        <f ca="1">IFERROR(__xludf.DUMMYFUNCTION("""COMPUTED_VALUE"""),2)</f>
        <v>2</v>
      </c>
      <c r="AJ5" s="42" t="str">
        <f ca="1">IFERROR(__xludf.DUMMYFUNCTION("""COMPUTED_VALUE"""),"https://drive.google.com/file/d/1XUsPySuyHND-m8CuccLynBDiyiw7N0ss/view?usp=drive_link")</f>
        <v>https://drive.google.com/file/d/1XUsPySuyHND-m8CuccLynBDiyiw7N0ss/view?usp=drive_link</v>
      </c>
      <c r="AK5" s="41">
        <f ca="1">IFERROR(__xludf.DUMMYFUNCTION("""COMPUTED_VALUE"""),2)</f>
        <v>2</v>
      </c>
      <c r="AL5" s="41">
        <f ca="1">IFERROR(__xludf.DUMMYFUNCTION("""COMPUTED_VALUE"""),3)</f>
        <v>3</v>
      </c>
      <c r="AM5" s="41">
        <f ca="1">IFERROR(__xludf.DUMMYFUNCTION("""COMPUTED_VALUE"""),3)</f>
        <v>3</v>
      </c>
      <c r="AN5" s="42" t="str">
        <f ca="1">IFERROR(__xludf.DUMMYFUNCTION("""COMPUTED_VALUE"""),"https://drive.google.com/file/d/1NfBY2OeRJOn_f_9QytR9dU14bkYfTAEV/view?usp=drive_link")</f>
        <v>https://drive.google.com/file/d/1NfBY2OeRJOn_f_9QytR9dU14bkYfTAEV/view?usp=drive_link</v>
      </c>
      <c r="AO5" s="41">
        <f ca="1">IFERROR(__xludf.DUMMYFUNCTION("""COMPUTED_VALUE"""),1)</f>
        <v>1</v>
      </c>
      <c r="AP5" s="41">
        <f ca="1">IFERROR(__xludf.DUMMYFUNCTION("""COMPUTED_VALUE"""),2)</f>
        <v>2</v>
      </c>
      <c r="AQ5" s="41">
        <f ca="1">IFERROR(__xludf.DUMMYFUNCTION("""COMPUTED_VALUE"""),3)</f>
        <v>3</v>
      </c>
      <c r="AR5" s="42" t="str">
        <f ca="1">IFERROR(__xludf.DUMMYFUNCTION("""COMPUTED_VALUE"""),"https://drive.google.com/file/d/1HVGoFt41wx9_WtcF_vTscDfeMLAixAH0/view?usp=drive_link")</f>
        <v>https://drive.google.com/file/d/1HVGoFt41wx9_WtcF_vTscDfeMLAixAH0/view?usp=drive_link</v>
      </c>
      <c r="AS5" s="41">
        <f ca="1">IFERROR(__xludf.DUMMYFUNCTION("""COMPUTED_VALUE"""),2)</f>
        <v>2</v>
      </c>
      <c r="AT5" s="41">
        <f ca="1">IFERROR(__xludf.DUMMYFUNCTION("""COMPUTED_VALUE"""),3)</f>
        <v>3</v>
      </c>
      <c r="AU5" s="41">
        <f ca="1">IFERROR(__xludf.DUMMYFUNCTION("""COMPUTED_VALUE"""),3)</f>
        <v>3</v>
      </c>
      <c r="AV5" s="42" t="str">
        <f ca="1">IFERROR(__xludf.DUMMYFUNCTION("""COMPUTED_VALUE"""),"https://drive.google.com/file/d/1Z2rwzOGXN8XCQresGyS8L5dqaJaommUK/view?usp=drive_link")</f>
        <v>https://drive.google.com/file/d/1Z2rwzOGXN8XCQresGyS8L5dqaJaommUK/view?usp=drive_link</v>
      </c>
      <c r="AW5" s="41">
        <f ca="1">IFERROR(__xludf.DUMMYFUNCTION("""COMPUTED_VALUE"""),2)</f>
        <v>2</v>
      </c>
      <c r="AX5" s="41">
        <f ca="1">IFERROR(__xludf.DUMMYFUNCTION("""COMPUTED_VALUE"""),3)</f>
        <v>3</v>
      </c>
      <c r="AY5" s="41">
        <f ca="1">IFERROR(__xludf.DUMMYFUNCTION("""COMPUTED_VALUE"""),3)</f>
        <v>3</v>
      </c>
      <c r="AZ5" s="42" t="str">
        <f ca="1">IFERROR(__xludf.DUMMYFUNCTION("""COMPUTED_VALUE"""),"https://drive.google.com/file/d/1tjKRxZZ08a1wimJ12C5OrYdHRgXIWWCG/view?usp=drive_link")</f>
        <v>https://drive.google.com/file/d/1tjKRxZZ08a1wimJ12C5OrYdHRgXIWWCG/view?usp=drive_link</v>
      </c>
      <c r="BA5" s="41">
        <f ca="1">IFERROR(__xludf.DUMMYFUNCTION("""COMPUTED_VALUE"""),2)</f>
        <v>2</v>
      </c>
      <c r="BB5" s="41">
        <f ca="1">IFERROR(__xludf.DUMMYFUNCTION("""COMPUTED_VALUE"""),3)</f>
        <v>3</v>
      </c>
      <c r="BC5" s="41">
        <f ca="1">IFERROR(__xludf.DUMMYFUNCTION("""COMPUTED_VALUE"""),4)</f>
        <v>4</v>
      </c>
      <c r="BD5" s="42" t="str">
        <f ca="1">IFERROR(__xludf.DUMMYFUNCTION("""COMPUTED_VALUE"""),"https://drive.google.com/file/d/1E0i_dp5cc7JOzMSe0jxkoxxxn8VQc5mb/view?usp=drive_link")</f>
        <v>https://drive.google.com/file/d/1E0i_dp5cc7JOzMSe0jxkoxxxn8VQc5mb/view?usp=drive_link</v>
      </c>
      <c r="BE5" s="41">
        <f ca="1">IFERROR(__xludf.DUMMYFUNCTION("""COMPUTED_VALUE"""),2)</f>
        <v>2</v>
      </c>
      <c r="BF5" s="41">
        <f ca="1">IFERROR(__xludf.DUMMYFUNCTION("""COMPUTED_VALUE"""),3)</f>
        <v>3</v>
      </c>
      <c r="BG5" s="41">
        <f ca="1">IFERROR(__xludf.DUMMYFUNCTION("""COMPUTED_VALUE"""),3)</f>
        <v>3</v>
      </c>
      <c r="BH5" s="42" t="str">
        <f ca="1">IFERROR(__xludf.DUMMYFUNCTION("""COMPUTED_VALUE"""),"https://drive.google.com/file/d/1xEj3v_MfCYx9XDtf_fKi9bhJH5wB_Wez/view?usp=drive_link")</f>
        <v>https://drive.google.com/file/d/1xEj3v_MfCYx9XDtf_fKi9bhJH5wB_Wez/view?usp=drive_link</v>
      </c>
      <c r="BI5" s="41">
        <f ca="1">IFERROR(__xludf.DUMMYFUNCTION("""COMPUTED_VALUE"""),2)</f>
        <v>2</v>
      </c>
      <c r="BJ5" s="41">
        <f ca="1">IFERROR(__xludf.DUMMYFUNCTION("""COMPUTED_VALUE"""),3)</f>
        <v>3</v>
      </c>
      <c r="BK5" s="41">
        <f ca="1">IFERROR(__xludf.DUMMYFUNCTION("""COMPUTED_VALUE"""),2)</f>
        <v>2</v>
      </c>
      <c r="BL5" s="42" t="str">
        <f ca="1">IFERROR(__xludf.DUMMYFUNCTION("""COMPUTED_VALUE"""),"https://drive.google.com/file/d/1vadJMk8QvlCtwFgOOSg04Nz4KXj40Qsc/view?usp=drive_link")</f>
        <v>https://drive.google.com/file/d/1vadJMk8QvlCtwFgOOSg04Nz4KXj40Qsc/view?usp=drive_link</v>
      </c>
      <c r="BM5" s="41">
        <f ca="1">IFERROR(__xludf.DUMMYFUNCTION("""COMPUTED_VALUE"""),2)</f>
        <v>2</v>
      </c>
      <c r="BN5" s="41">
        <f ca="1">IFERROR(__xludf.DUMMYFUNCTION("""COMPUTED_VALUE"""),3)</f>
        <v>3</v>
      </c>
      <c r="BO5" s="41">
        <f ca="1">IFERROR(__xludf.DUMMYFUNCTION("""COMPUTED_VALUE"""),3)</f>
        <v>3</v>
      </c>
      <c r="BP5" s="42" t="str">
        <f ca="1">IFERROR(__xludf.DUMMYFUNCTION("""COMPUTED_VALUE"""),"https://drive.google.com/file/d/1nNpJRkQh4AsD0HKtarI1cShSrmBl4A3K/view?usp=drive_link")</f>
        <v>https://drive.google.com/file/d/1nNpJRkQh4AsD0HKtarI1cShSrmBl4A3K/view?usp=drive_link</v>
      </c>
      <c r="BQ5" s="41">
        <f ca="1">IFERROR(__xludf.DUMMYFUNCTION("""COMPUTED_VALUE"""),1)</f>
        <v>1</v>
      </c>
      <c r="BR5" s="41">
        <f ca="1">IFERROR(__xludf.DUMMYFUNCTION("""COMPUTED_VALUE"""),2)</f>
        <v>2</v>
      </c>
      <c r="BS5" s="41">
        <f ca="1">IFERROR(__xludf.DUMMYFUNCTION("""COMPUTED_VALUE"""),2)</f>
        <v>2</v>
      </c>
      <c r="BT5" s="42" t="str">
        <f ca="1">IFERROR(__xludf.DUMMYFUNCTION("""COMPUTED_VALUE"""),"https://drive.google.com/file/d/1Degq2w3r5X_wkvEYHTquCFH0q4OkxG52/view?usp=drive_link")</f>
        <v>https://drive.google.com/file/d/1Degq2w3r5X_wkvEYHTquCFH0q4OkxG52/view?usp=drive_link</v>
      </c>
      <c r="BU5" s="41">
        <f ca="1">IFERROR(__xludf.DUMMYFUNCTION("""COMPUTED_VALUE"""),2)</f>
        <v>2</v>
      </c>
      <c r="BV5" s="41">
        <f ca="1">IFERROR(__xludf.DUMMYFUNCTION("""COMPUTED_VALUE"""),3)</f>
        <v>3</v>
      </c>
      <c r="BW5" s="41">
        <f ca="1">IFERROR(__xludf.DUMMYFUNCTION("""COMPUTED_VALUE"""),3)</f>
        <v>3</v>
      </c>
      <c r="BX5" s="42" t="str">
        <f ca="1">IFERROR(__xludf.DUMMYFUNCTION("""COMPUTED_VALUE"""),"https://drive.google.com/file/d/1uZLZbVS3fdnvyD2KZ0kLWpDs2MkIfLho/view?usp=drive_linkhttps://drive.google.com/file/d/1uZLZbVS3fdnvyD2KZ0kLWpDs2MkIfLho/view?usp=drive_link")</f>
        <v>https://drive.google.com/file/d/1uZLZbVS3fdnvyD2KZ0kLWpDs2MkIfLho/view?usp=drive_linkhttps://drive.google.com/file/d/1uZLZbVS3fdnvyD2KZ0kLWpDs2MkIfLho/view?usp=drive_link</v>
      </c>
      <c r="BY5" s="41">
        <f ca="1">IFERROR(__xludf.DUMMYFUNCTION("""COMPUTED_VALUE"""),2)</f>
        <v>2</v>
      </c>
      <c r="BZ5" s="41">
        <f ca="1">IFERROR(__xludf.DUMMYFUNCTION("""COMPUTED_VALUE"""),3)</f>
        <v>3</v>
      </c>
      <c r="CA5" s="41">
        <f ca="1">IFERROR(__xludf.DUMMYFUNCTION("""COMPUTED_VALUE"""),3)</f>
        <v>3</v>
      </c>
      <c r="CB5" s="42" t="str">
        <f ca="1">IFERROR(__xludf.DUMMYFUNCTION("""COMPUTED_VALUE"""),"https://drive.google.com/file/d/1C_Ua3RKqXBrVy_5vTRArga299lwA_Low/view?usp=drive_link")</f>
        <v>https://drive.google.com/file/d/1C_Ua3RKqXBrVy_5vTRArga299lwA_Low/view?usp=drive_link</v>
      </c>
      <c r="CC5" s="41" t="str">
        <f ca="1">IFERROR(__xludf.DUMMYFUNCTION("""COMPUTED_VALUE"""),"Semoga kedepannya dapat lebih baik dan adanya perubahan")</f>
        <v>Semoga kedepannya dapat lebih baik dan adanya perubahan</v>
      </c>
      <c r="CD5" s="66">
        <f ca="1"/>
        <v>1.8235294117647058</v>
      </c>
      <c r="CE5" s="67">
        <f ca="1"/>
        <v>2.6470588235294117</v>
      </c>
      <c r="CF5" s="67">
        <f ca="1"/>
        <v>2.7058823529411766</v>
      </c>
      <c r="CG5" s="67">
        <f ca="1"/>
        <v>0.88235294117647078</v>
      </c>
      <c r="CH5" s="68">
        <f ca="1"/>
        <v>1.75</v>
      </c>
      <c r="CI5" s="68">
        <f ca="1"/>
        <v>2.5</v>
      </c>
      <c r="CJ5" s="68">
        <f ca="1"/>
        <v>2.5</v>
      </c>
      <c r="CK5" s="68">
        <f ca="1"/>
        <v>0.75</v>
      </c>
      <c r="CL5" s="70">
        <f ca="1"/>
        <v>2</v>
      </c>
      <c r="CM5" s="70">
        <f ca="1"/>
        <v>2.3333333333333335</v>
      </c>
      <c r="CN5" s="70">
        <f ca="1"/>
        <v>2.3333333333333335</v>
      </c>
      <c r="CO5" s="70">
        <f ca="1"/>
        <v>0.33333333333333348</v>
      </c>
      <c r="CP5" s="72">
        <f ca="1"/>
        <v>1.5</v>
      </c>
      <c r="CQ5" s="72">
        <f ca="1"/>
        <v>2.5</v>
      </c>
      <c r="CR5" s="72">
        <f ca="1"/>
        <v>3</v>
      </c>
      <c r="CS5" s="72">
        <f ca="1"/>
        <v>1.5</v>
      </c>
      <c r="CT5" s="74">
        <f ca="1"/>
        <v>2</v>
      </c>
      <c r="CU5" s="74">
        <f ca="1"/>
        <v>3</v>
      </c>
      <c r="CV5" s="74">
        <f ca="1"/>
        <v>3</v>
      </c>
      <c r="CW5" s="74">
        <f ca="1"/>
        <v>1</v>
      </c>
      <c r="CX5" s="76">
        <f ca="1"/>
        <v>2</v>
      </c>
      <c r="CY5" s="76">
        <f ca="1"/>
        <v>3</v>
      </c>
      <c r="CZ5" s="76">
        <f ca="1"/>
        <v>3.5</v>
      </c>
      <c r="DA5" s="76">
        <f ca="1"/>
        <v>1.5</v>
      </c>
      <c r="DB5" s="78">
        <f ca="1"/>
        <v>1.8</v>
      </c>
      <c r="DC5" s="78">
        <f ca="1"/>
        <v>2.8</v>
      </c>
      <c r="DD5" s="78">
        <f ca="1"/>
        <v>2.6</v>
      </c>
      <c r="DE5" s="78">
        <f ca="1"/>
        <v>0.8</v>
      </c>
    </row>
    <row r="6" spans="1:129" x14ac:dyDescent="0.3">
      <c r="A6" s="65">
        <f ca="1">IFERROR(__xludf.DUMMYFUNCTION("""COMPUTED_VALUE"""),46109.5197478356)</f>
        <v>46109.519747835599</v>
      </c>
      <c r="B6" s="41" t="str">
        <f ca="1">IFERROR(__xludf.DUMMYFUNCTION("""COMPUTED_VALUE"""),"nurwindawani81@gmail.com")</f>
        <v>nurwindawani81@gmail.com</v>
      </c>
      <c r="C6" s="41">
        <f ca="1">IFERROR(__xludf.DUMMYFUNCTION("""COMPUTED_VALUE"""),69913339)</f>
        <v>69913339</v>
      </c>
      <c r="D6" s="41" t="str">
        <f ca="1">IFERROR(__xludf.DUMMYFUNCTION("""COMPUTED_VALUE"""),"Bangun Purba")</f>
        <v>Bangun Purba</v>
      </c>
      <c r="E6" s="41" t="str">
        <f ca="1">IFERROR(__xludf.DUMMYFUNCTION("""COMPUTED_VALUE"""),"TK")</f>
        <v>TK</v>
      </c>
      <c r="F6" s="41" t="str">
        <f ca="1">IFERROR(__xludf.DUMMYFUNCTION("""COMPUTED_VALUE"""),"UPT SPF TK NEGERI SATU ATAP BANGUN PURBA")</f>
        <v>UPT SPF TK NEGERI SATU ATAP BANGUN PURBA</v>
      </c>
      <c r="G6" s="41" t="str">
        <f ca="1">IFERROR(__xludf.DUMMYFUNCTION("""COMPUTED_VALUE"""),"LINDA PURBA, S.Pd")</f>
        <v>LINDA PURBA, S.Pd</v>
      </c>
      <c r="H6" s="41" t="str">
        <f ca="1">IFERROR(__xludf.DUMMYFUNCTION("""COMPUTED_VALUE"""),"081397495277")</f>
        <v>081397495277</v>
      </c>
      <c r="I6" s="41" t="str">
        <f ca="1">IFERROR(__xludf.DUMMYFUNCTION("""COMPUTED_VALUE"""),"NURWINDAWANI, S.Pd")</f>
        <v>NURWINDAWANI, S.Pd</v>
      </c>
      <c r="J6" s="41" t="str">
        <f ca="1">IFERROR(__xludf.DUMMYFUNCTION("""COMPUTED_VALUE"""),"085277545204")</f>
        <v>085277545204</v>
      </c>
      <c r="K6" s="41" t="str">
        <f ca="1">IFERROR(__xludf.DUMMYFUNCTION("""COMPUTED_VALUE"""),"Maret")</f>
        <v>Maret</v>
      </c>
      <c r="L6" s="41" t="str">
        <f ca="1">IFERROR(__xludf.DUMMYFUNCTION("""COMPUTED_VALUE"""),"I")</f>
        <v>I</v>
      </c>
      <c r="M6" s="41">
        <f ca="1">IFERROR(__xludf.DUMMYFUNCTION("""COMPUTED_VALUE"""),3)</f>
        <v>3</v>
      </c>
      <c r="N6" s="41">
        <f ca="1">IFERROR(__xludf.DUMMYFUNCTION("""COMPUTED_VALUE"""),4)</f>
        <v>4</v>
      </c>
      <c r="O6" s="41">
        <f ca="1">IFERROR(__xludf.DUMMYFUNCTION("""COMPUTED_VALUE"""),3)</f>
        <v>3</v>
      </c>
      <c r="P6" s="42" t="str">
        <f ca="1">IFERROR(__xludf.DUMMYFUNCTION("""COMPUTED_VALUE"""),"https://drive.google.com/drive/folders/1_GK9q0B6mkNQjgt2UfVejTSTUZp6Icvd?usp=sharing")</f>
        <v>https://drive.google.com/drive/folders/1_GK9q0B6mkNQjgt2UfVejTSTUZp6Icvd?usp=sharing</v>
      </c>
      <c r="Q6" s="41">
        <f ca="1">IFERROR(__xludf.DUMMYFUNCTION("""COMPUTED_VALUE"""),3)</f>
        <v>3</v>
      </c>
      <c r="R6" s="41">
        <f ca="1">IFERROR(__xludf.DUMMYFUNCTION("""COMPUTED_VALUE"""),4)</f>
        <v>4</v>
      </c>
      <c r="S6" s="41">
        <f ca="1">IFERROR(__xludf.DUMMYFUNCTION("""COMPUTED_VALUE"""),4)</f>
        <v>4</v>
      </c>
      <c r="T6" s="42" t="str">
        <f ca="1">IFERROR(__xludf.DUMMYFUNCTION("""COMPUTED_VALUE"""),"https://drive.google.com/drive/folders/1-ij7X64FV6sUirNhy-lCfzWiU93dA6oc?usp=sharing")</f>
        <v>https://drive.google.com/drive/folders/1-ij7X64FV6sUirNhy-lCfzWiU93dA6oc?usp=sharing</v>
      </c>
      <c r="U6" s="41">
        <f ca="1">IFERROR(__xludf.DUMMYFUNCTION("""COMPUTED_VALUE"""),2)</f>
        <v>2</v>
      </c>
      <c r="V6" s="41">
        <f ca="1">IFERROR(__xludf.DUMMYFUNCTION("""COMPUTED_VALUE"""),4)</f>
        <v>4</v>
      </c>
      <c r="W6" s="41">
        <f ca="1">IFERROR(__xludf.DUMMYFUNCTION("""COMPUTED_VALUE"""),3)</f>
        <v>3</v>
      </c>
      <c r="X6" s="42" t="str">
        <f ca="1">IFERROR(__xludf.DUMMYFUNCTION("""COMPUTED_VALUE"""),"https://drive.google.com/drive/folders/1hFhBodljg94INveN8gzHZLKTeRycMtoj?usp=sharing")</f>
        <v>https://drive.google.com/drive/folders/1hFhBodljg94INveN8gzHZLKTeRycMtoj?usp=sharing</v>
      </c>
      <c r="Y6" s="41">
        <f ca="1">IFERROR(__xludf.DUMMYFUNCTION("""COMPUTED_VALUE"""),2)</f>
        <v>2</v>
      </c>
      <c r="Z6" s="41">
        <f ca="1">IFERROR(__xludf.DUMMYFUNCTION("""COMPUTED_VALUE"""),3)</f>
        <v>3</v>
      </c>
      <c r="AA6" s="41">
        <f ca="1">IFERROR(__xludf.DUMMYFUNCTION("""COMPUTED_VALUE"""),3)</f>
        <v>3</v>
      </c>
      <c r="AB6" s="42" t="str">
        <f ca="1">IFERROR(__xludf.DUMMYFUNCTION("""COMPUTED_VALUE"""),"https://drive.google.com/drive/folders/1nNSQT6bBT3ynq14hzqQsEslIiCihIzJc?usp=sharing")</f>
        <v>https://drive.google.com/drive/folders/1nNSQT6bBT3ynq14hzqQsEslIiCihIzJc?usp=sharing</v>
      </c>
      <c r="AC6" s="41">
        <f ca="1">IFERROR(__xludf.DUMMYFUNCTION("""COMPUTED_VALUE"""),3)</f>
        <v>3</v>
      </c>
      <c r="AD6" s="41">
        <f ca="1">IFERROR(__xludf.DUMMYFUNCTION("""COMPUTED_VALUE"""),4)</f>
        <v>4</v>
      </c>
      <c r="AE6" s="41">
        <f ca="1">IFERROR(__xludf.DUMMYFUNCTION("""COMPUTED_VALUE"""),3)</f>
        <v>3</v>
      </c>
      <c r="AF6" s="42" t="str">
        <f ca="1">IFERROR(__xludf.DUMMYFUNCTION("""COMPUTED_VALUE"""),"https://drive.google.com/drive/folders/1UyK9iEjeb7nXwaE1IVDs_ivVLPlLQ1SF?usp=sharing")</f>
        <v>https://drive.google.com/drive/folders/1UyK9iEjeb7nXwaE1IVDs_ivVLPlLQ1SF?usp=sharing</v>
      </c>
      <c r="AG6" s="41">
        <f ca="1">IFERROR(__xludf.DUMMYFUNCTION("""COMPUTED_VALUE"""),2)</f>
        <v>2</v>
      </c>
      <c r="AH6" s="41">
        <f ca="1">IFERROR(__xludf.DUMMYFUNCTION("""COMPUTED_VALUE"""),4)</f>
        <v>4</v>
      </c>
      <c r="AI6" s="41">
        <f ca="1">IFERROR(__xludf.DUMMYFUNCTION("""COMPUTED_VALUE"""),4)</f>
        <v>4</v>
      </c>
      <c r="AJ6" s="42" t="str">
        <f ca="1">IFERROR(__xludf.DUMMYFUNCTION("""COMPUTED_VALUE"""),"https://drive.google.com/drive/folders/1FQ40R8jQtyOJyqSyO5gpgAEb0ZlTYtGk?usp=sharing")</f>
        <v>https://drive.google.com/drive/folders/1FQ40R8jQtyOJyqSyO5gpgAEb0ZlTYtGk?usp=sharing</v>
      </c>
      <c r="AK6" s="41">
        <f ca="1">IFERROR(__xludf.DUMMYFUNCTION("""COMPUTED_VALUE"""),2)</f>
        <v>2</v>
      </c>
      <c r="AL6" s="41">
        <f ca="1">IFERROR(__xludf.DUMMYFUNCTION("""COMPUTED_VALUE"""),3)</f>
        <v>3</v>
      </c>
      <c r="AM6" s="41">
        <f ca="1">IFERROR(__xludf.DUMMYFUNCTION("""COMPUTED_VALUE"""),3)</f>
        <v>3</v>
      </c>
      <c r="AN6" s="42" t="str">
        <f ca="1">IFERROR(__xludf.DUMMYFUNCTION("""COMPUTED_VALUE"""),"https://drive.google.com/drive/folders/11y4asUs-prxqZr2z9Xw10Hps0-S6v-Hk?usp=sharing")</f>
        <v>https://drive.google.com/drive/folders/11y4asUs-prxqZr2z9Xw10Hps0-S6v-Hk?usp=sharing</v>
      </c>
      <c r="AO6" s="41">
        <f ca="1">IFERROR(__xludf.DUMMYFUNCTION("""COMPUTED_VALUE"""),2)</f>
        <v>2</v>
      </c>
      <c r="AP6" s="41">
        <f ca="1">IFERROR(__xludf.DUMMYFUNCTION("""COMPUTED_VALUE"""),4)</f>
        <v>4</v>
      </c>
      <c r="AQ6" s="41">
        <f ca="1">IFERROR(__xludf.DUMMYFUNCTION("""COMPUTED_VALUE"""),3)</f>
        <v>3</v>
      </c>
      <c r="AR6" s="42" t="str">
        <f ca="1">IFERROR(__xludf.DUMMYFUNCTION("""COMPUTED_VALUE"""),"https://drive.google.com/drive/folders/1PgTNCNAHrQ33djdYe-BfX5nZchJVmABE?usp=sharing")</f>
        <v>https://drive.google.com/drive/folders/1PgTNCNAHrQ33djdYe-BfX5nZchJVmABE?usp=sharing</v>
      </c>
      <c r="AS6" s="41">
        <f ca="1">IFERROR(__xludf.DUMMYFUNCTION("""COMPUTED_VALUE"""),2)</f>
        <v>2</v>
      </c>
      <c r="AT6" s="41">
        <f ca="1">IFERROR(__xludf.DUMMYFUNCTION("""COMPUTED_VALUE"""),4)</f>
        <v>4</v>
      </c>
      <c r="AU6" s="41">
        <f ca="1">IFERROR(__xludf.DUMMYFUNCTION("""COMPUTED_VALUE"""),3)</f>
        <v>3</v>
      </c>
      <c r="AV6" s="42" t="str">
        <f ca="1">IFERROR(__xludf.DUMMYFUNCTION("""COMPUTED_VALUE"""),"https://drive.google.com/drive/folders/1RjDWiajNs0AaUHnYPLC_NwrFtI8FsJDR?usp=sharing")</f>
        <v>https://drive.google.com/drive/folders/1RjDWiajNs0AaUHnYPLC_NwrFtI8FsJDR?usp=sharing</v>
      </c>
      <c r="AW6" s="41">
        <f ca="1">IFERROR(__xludf.DUMMYFUNCTION("""COMPUTED_VALUE"""),2)</f>
        <v>2</v>
      </c>
      <c r="AX6" s="41">
        <f ca="1">IFERROR(__xludf.DUMMYFUNCTION("""COMPUTED_VALUE"""),4)</f>
        <v>4</v>
      </c>
      <c r="AY6" s="41">
        <f ca="1">IFERROR(__xludf.DUMMYFUNCTION("""COMPUTED_VALUE"""),3)</f>
        <v>3</v>
      </c>
      <c r="AZ6" s="42" t="str">
        <f ca="1">IFERROR(__xludf.DUMMYFUNCTION("""COMPUTED_VALUE"""),"https://drive.google.com/drive/folders/1iqKkffRdpO2ybTNGQwzcGkEeVoeuObho?usp=sharing")</f>
        <v>https://drive.google.com/drive/folders/1iqKkffRdpO2ybTNGQwzcGkEeVoeuObho?usp=sharing</v>
      </c>
      <c r="BA6" s="41">
        <f ca="1">IFERROR(__xludf.DUMMYFUNCTION("""COMPUTED_VALUE"""),2)</f>
        <v>2</v>
      </c>
      <c r="BB6" s="41">
        <f ca="1">IFERROR(__xludf.DUMMYFUNCTION("""COMPUTED_VALUE"""),4)</f>
        <v>4</v>
      </c>
      <c r="BC6" s="41">
        <f ca="1">IFERROR(__xludf.DUMMYFUNCTION("""COMPUTED_VALUE"""),3)</f>
        <v>3</v>
      </c>
      <c r="BD6" s="42" t="str">
        <f ca="1">IFERROR(__xludf.DUMMYFUNCTION("""COMPUTED_VALUE"""),"https://drive.google.com/drive/folders/1qZvTscBWee852nbOSJvDcwIlSee_9ok5?usp=sharing")</f>
        <v>https://drive.google.com/drive/folders/1qZvTscBWee852nbOSJvDcwIlSee_9ok5?usp=sharing</v>
      </c>
      <c r="BE6" s="41">
        <f ca="1">IFERROR(__xludf.DUMMYFUNCTION("""COMPUTED_VALUE"""),2)</f>
        <v>2</v>
      </c>
      <c r="BF6" s="41">
        <f ca="1">IFERROR(__xludf.DUMMYFUNCTION("""COMPUTED_VALUE"""),4)</f>
        <v>4</v>
      </c>
      <c r="BG6" s="41">
        <f ca="1">IFERROR(__xludf.DUMMYFUNCTION("""COMPUTED_VALUE"""),3)</f>
        <v>3</v>
      </c>
      <c r="BH6" s="42" t="str">
        <f ca="1">IFERROR(__xludf.DUMMYFUNCTION("""COMPUTED_VALUE"""),"https://drive.google.com/drive/folders/1yqnvDl1MyATHXtfkmQOzoyFfpX3Ps4dc?usp=sharing")</f>
        <v>https://drive.google.com/drive/folders/1yqnvDl1MyATHXtfkmQOzoyFfpX3Ps4dc?usp=sharing</v>
      </c>
      <c r="BI6" s="41">
        <f ca="1">IFERROR(__xludf.DUMMYFUNCTION("""COMPUTED_VALUE"""),2)</f>
        <v>2</v>
      </c>
      <c r="BJ6" s="41">
        <f ca="1">IFERROR(__xludf.DUMMYFUNCTION("""COMPUTED_VALUE"""),4)</f>
        <v>4</v>
      </c>
      <c r="BK6" s="41">
        <f ca="1">IFERROR(__xludf.DUMMYFUNCTION("""COMPUTED_VALUE"""),3)</f>
        <v>3</v>
      </c>
      <c r="BL6" s="42" t="str">
        <f ca="1">IFERROR(__xludf.DUMMYFUNCTION("""COMPUTED_VALUE"""),"https://drive.google.com/drive/folders/19lDdMzf3QARFd6M-Y8GBQd_iqFY0baUz?usp=sharing")</f>
        <v>https://drive.google.com/drive/folders/19lDdMzf3QARFd6M-Y8GBQd_iqFY0baUz?usp=sharing</v>
      </c>
      <c r="BM6" s="41">
        <f ca="1">IFERROR(__xludf.DUMMYFUNCTION("""COMPUTED_VALUE"""),2)</f>
        <v>2</v>
      </c>
      <c r="BN6" s="41">
        <f ca="1">IFERROR(__xludf.DUMMYFUNCTION("""COMPUTED_VALUE"""),4)</f>
        <v>4</v>
      </c>
      <c r="BO6" s="41">
        <f ca="1">IFERROR(__xludf.DUMMYFUNCTION("""COMPUTED_VALUE"""),3)</f>
        <v>3</v>
      </c>
      <c r="BP6" s="42" t="str">
        <f ca="1">IFERROR(__xludf.DUMMYFUNCTION("""COMPUTED_VALUE"""),"https://drive.google.com/drive/folders/1hk9Wrb5E1Zp1gHp-bc-McdAKU5oyHcjc?usp=sharing")</f>
        <v>https://drive.google.com/drive/folders/1hk9Wrb5E1Zp1gHp-bc-McdAKU5oyHcjc?usp=sharing</v>
      </c>
      <c r="BQ6" s="41">
        <f ca="1">IFERROR(__xludf.DUMMYFUNCTION("""COMPUTED_VALUE"""),2)</f>
        <v>2</v>
      </c>
      <c r="BR6" s="41">
        <f ca="1">IFERROR(__xludf.DUMMYFUNCTION("""COMPUTED_VALUE"""),3)</f>
        <v>3</v>
      </c>
      <c r="BS6" s="41">
        <f ca="1">IFERROR(__xludf.DUMMYFUNCTION("""COMPUTED_VALUE"""),3)</f>
        <v>3</v>
      </c>
      <c r="BT6" s="42" t="str">
        <f ca="1">IFERROR(__xludf.DUMMYFUNCTION("""COMPUTED_VALUE"""),"https://drive.google.com/drive/folders/1MHHlHjDGFGEXx3o_LXIEzpK2lmZvKDGs?usp=sharing")</f>
        <v>https://drive.google.com/drive/folders/1MHHlHjDGFGEXx3o_LXIEzpK2lmZvKDGs?usp=sharing</v>
      </c>
      <c r="BU6" s="41">
        <f ca="1">IFERROR(__xludf.DUMMYFUNCTION("""COMPUTED_VALUE"""),2)</f>
        <v>2</v>
      </c>
      <c r="BV6" s="41">
        <f ca="1">IFERROR(__xludf.DUMMYFUNCTION("""COMPUTED_VALUE"""),4)</f>
        <v>4</v>
      </c>
      <c r="BW6" s="41">
        <f ca="1">IFERROR(__xludf.DUMMYFUNCTION("""COMPUTED_VALUE"""),3)</f>
        <v>3</v>
      </c>
      <c r="BX6" s="42" t="str">
        <f ca="1">IFERROR(__xludf.DUMMYFUNCTION("""COMPUTED_VALUE"""),"https://drive.google.com/drive/folders/1nHreKWoN7W6Jp0G8dgu3YctLKRCBext5?usp=sharing")</f>
        <v>https://drive.google.com/drive/folders/1nHreKWoN7W6Jp0G8dgu3YctLKRCBext5?usp=sharing</v>
      </c>
      <c r="BY6" s="41">
        <f ca="1">IFERROR(__xludf.DUMMYFUNCTION("""COMPUTED_VALUE"""),1)</f>
        <v>1</v>
      </c>
      <c r="BZ6" s="41">
        <f ca="1">IFERROR(__xludf.DUMMYFUNCTION("""COMPUTED_VALUE"""),3)</f>
        <v>3</v>
      </c>
      <c r="CA6" s="41">
        <f ca="1">IFERROR(__xludf.DUMMYFUNCTION("""COMPUTED_VALUE"""),3)</f>
        <v>3</v>
      </c>
      <c r="CB6" s="42" t="str">
        <f ca="1">IFERROR(__xludf.DUMMYFUNCTION("""COMPUTED_VALUE"""),"https://drive.google.com/drive/folders/19lDdMzf3QARFd6M-Y8GBQd_iqFY0baUz?usp=sharing")</f>
        <v>https://drive.google.com/drive/folders/19lDdMzf3QARFd6M-Y8GBQd_iqFY0baUz?usp=sharing</v>
      </c>
      <c r="CC6" s="41" t="str">
        <f ca="1">IFERROR(__xludf.DUMMYFUNCTION("""COMPUTED_VALUE"""),"semoga kedepannya dapat diperbaiki dan adanya perubahan baik")</f>
        <v>semoga kedepannya dapat diperbaiki dan adanya perubahan baik</v>
      </c>
      <c r="CD6" s="66">
        <f ca="1"/>
        <v>2.1176470588235294</v>
      </c>
      <c r="CE6" s="67">
        <f ca="1"/>
        <v>3.7647058823529411</v>
      </c>
      <c r="CF6" s="67">
        <f ca="1"/>
        <v>3.1176470588235294</v>
      </c>
      <c r="CG6" s="67">
        <f ca="1"/>
        <v>1</v>
      </c>
      <c r="CH6" s="68">
        <f ca="1"/>
        <v>2.5</v>
      </c>
      <c r="CI6" s="68">
        <f ca="1"/>
        <v>3.75</v>
      </c>
      <c r="CJ6" s="68">
        <f ca="1"/>
        <v>3.25</v>
      </c>
      <c r="CK6" s="68">
        <f ca="1"/>
        <v>0.75</v>
      </c>
      <c r="CL6" s="70">
        <f ca="1"/>
        <v>2.3333333333333335</v>
      </c>
      <c r="CM6" s="70">
        <f ca="1"/>
        <v>3.6666666666666665</v>
      </c>
      <c r="CN6" s="70">
        <f ca="1"/>
        <v>3.3333333333333335</v>
      </c>
      <c r="CO6" s="70">
        <f ca="1"/>
        <v>1</v>
      </c>
      <c r="CP6" s="72">
        <f ca="1"/>
        <v>2</v>
      </c>
      <c r="CQ6" s="72">
        <f ca="1"/>
        <v>4</v>
      </c>
      <c r="CR6" s="72">
        <f ca="1"/>
        <v>3</v>
      </c>
      <c r="CS6" s="72">
        <f ca="1"/>
        <v>1</v>
      </c>
      <c r="CT6" s="74">
        <f ca="1"/>
        <v>2</v>
      </c>
      <c r="CU6" s="74">
        <f ca="1"/>
        <v>4</v>
      </c>
      <c r="CV6" s="74">
        <f ca="1"/>
        <v>3</v>
      </c>
      <c r="CW6" s="74">
        <f ca="1"/>
        <v>1</v>
      </c>
      <c r="CX6" s="76">
        <f ca="1"/>
        <v>2</v>
      </c>
      <c r="CY6" s="76">
        <f ca="1"/>
        <v>4</v>
      </c>
      <c r="CZ6" s="76">
        <f ca="1"/>
        <v>3</v>
      </c>
      <c r="DA6" s="76">
        <f ca="1"/>
        <v>1</v>
      </c>
      <c r="DB6" s="78">
        <f ca="1"/>
        <v>1.8</v>
      </c>
      <c r="DC6" s="78">
        <f ca="1"/>
        <v>3.6</v>
      </c>
      <c r="DD6" s="78">
        <f ca="1"/>
        <v>3</v>
      </c>
      <c r="DE6" s="78">
        <f ca="1"/>
        <v>1.2</v>
      </c>
    </row>
    <row r="7" spans="1:129" x14ac:dyDescent="0.3">
      <c r="A7" s="65">
        <f ca="1">IFERROR(__xludf.DUMMYFUNCTION("""COMPUTED_VALUE"""),46109.5290462731)</f>
        <v>46109.529046273099</v>
      </c>
      <c r="B7" s="41" t="str">
        <f ca="1">IFERROR(__xludf.DUMMYFUNCTION("""COMPUTED_VALUE"""),"trihandayani393@admin.paud.belajar.id")</f>
        <v>trihandayani393@admin.paud.belajar.id</v>
      </c>
      <c r="C7" s="41">
        <f ca="1">IFERROR(__xludf.DUMMYFUNCTION("""COMPUTED_VALUE"""),69970259)</f>
        <v>69970259</v>
      </c>
      <c r="D7" s="41" t="str">
        <f ca="1">IFERROR(__xludf.DUMMYFUNCTION("""COMPUTED_VALUE"""),"Pagar Merbau")</f>
        <v>Pagar Merbau</v>
      </c>
      <c r="E7" s="41" t="str">
        <f ca="1">IFERROR(__xludf.DUMMYFUNCTION("""COMPUTED_VALUE"""),"TK")</f>
        <v>TK</v>
      </c>
      <c r="F7" s="41" t="str">
        <f ca="1">IFERROR(__xludf.DUMMYFUNCTION("""COMPUTED_VALUE"""),"UPT SPF TK NEGERI PAGAR MERBAU")</f>
        <v>UPT SPF TK NEGERI PAGAR MERBAU</v>
      </c>
      <c r="G7" s="41" t="str">
        <f ca="1">IFERROR(__xludf.DUMMYFUNCTION("""COMPUTED_VALUE"""),"SARMA HERLINA SIRAIT,S.Pd")</f>
        <v>SARMA HERLINA SIRAIT,S.Pd</v>
      </c>
      <c r="H7" s="41" t="str">
        <f ca="1">IFERROR(__xludf.DUMMYFUNCTION("""COMPUTED_VALUE"""),"081361733418")</f>
        <v>081361733418</v>
      </c>
      <c r="I7" s="41" t="str">
        <f ca="1">IFERROR(__xludf.DUMMYFUNCTION("""COMPUTED_VALUE"""),"Juraida, S.Pd")</f>
        <v>Juraida, S.Pd</v>
      </c>
      <c r="J7" s="41" t="str">
        <f ca="1">IFERROR(__xludf.DUMMYFUNCTION("""COMPUTED_VALUE"""),"085373089695")</f>
        <v>085373089695</v>
      </c>
      <c r="K7" s="41" t="str">
        <f ca="1">IFERROR(__xludf.DUMMYFUNCTION("""COMPUTED_VALUE"""),"Maret")</f>
        <v>Maret</v>
      </c>
      <c r="L7" s="41" t="str">
        <f ca="1">IFERROR(__xludf.DUMMYFUNCTION("""COMPUTED_VALUE"""),"IV")</f>
        <v>IV</v>
      </c>
      <c r="M7" s="41">
        <f ca="1">IFERROR(__xludf.DUMMYFUNCTION("""COMPUTED_VALUE"""),3)</f>
        <v>3</v>
      </c>
      <c r="N7" s="41">
        <f ca="1">IFERROR(__xludf.DUMMYFUNCTION("""COMPUTED_VALUE"""),4)</f>
        <v>4</v>
      </c>
      <c r="O7" s="41">
        <f ca="1">IFERROR(__xludf.DUMMYFUNCTION("""COMPUTED_VALUE"""),4)</f>
        <v>4</v>
      </c>
      <c r="P7" s="42" t="str">
        <f ca="1">IFERROR(__xludf.DUMMYFUNCTION("""COMPUTED_VALUE"""),"https://drive.google.com/file/d/1Chj7O3wVfibeDWoMGQ48lO_sqDXCXx0F/view?usp=sharing")</f>
        <v>https://drive.google.com/file/d/1Chj7O3wVfibeDWoMGQ48lO_sqDXCXx0F/view?usp=sharing</v>
      </c>
      <c r="Q7" s="41">
        <f ca="1">IFERROR(__xludf.DUMMYFUNCTION("""COMPUTED_VALUE"""),3)</f>
        <v>3</v>
      </c>
      <c r="R7" s="41">
        <f ca="1">IFERROR(__xludf.DUMMYFUNCTION("""COMPUTED_VALUE"""),4)</f>
        <v>4</v>
      </c>
      <c r="S7" s="41">
        <f ca="1">IFERROR(__xludf.DUMMYFUNCTION("""COMPUTED_VALUE"""),4)</f>
        <v>4</v>
      </c>
      <c r="T7" s="42" t="str">
        <f ca="1">IFERROR(__xludf.DUMMYFUNCTION("""COMPUTED_VALUE"""),"https://drive.google.com/file/d/1jh7imcTGBLIEVrcOEYPWWecJBjTVowwN/view?usp=sharing")</f>
        <v>https://drive.google.com/file/d/1jh7imcTGBLIEVrcOEYPWWecJBjTVowwN/view?usp=sharing</v>
      </c>
      <c r="U7" s="41">
        <f ca="1">IFERROR(__xludf.DUMMYFUNCTION("""COMPUTED_VALUE"""),3)</f>
        <v>3</v>
      </c>
      <c r="V7" s="41">
        <f ca="1">IFERROR(__xludf.DUMMYFUNCTION("""COMPUTED_VALUE"""),4)</f>
        <v>4</v>
      </c>
      <c r="W7" s="41">
        <f ca="1">IFERROR(__xludf.DUMMYFUNCTION("""COMPUTED_VALUE"""),4)</f>
        <v>4</v>
      </c>
      <c r="X7" s="42" t="str">
        <f ca="1">IFERROR(__xludf.DUMMYFUNCTION("""COMPUTED_VALUE"""),"https://drive.google.com/file/d/1t-YUMjteFjbdiBdogRvbhzKTQl9CQbQx/view?usp=sharing")</f>
        <v>https://drive.google.com/file/d/1t-YUMjteFjbdiBdogRvbhzKTQl9CQbQx/view?usp=sharing</v>
      </c>
      <c r="Y7" s="41">
        <f ca="1">IFERROR(__xludf.DUMMYFUNCTION("""COMPUTED_VALUE"""),2)</f>
        <v>2</v>
      </c>
      <c r="Z7" s="41">
        <f ca="1">IFERROR(__xludf.DUMMYFUNCTION("""COMPUTED_VALUE"""),3)</f>
        <v>3</v>
      </c>
      <c r="AA7" s="41">
        <f ca="1">IFERROR(__xludf.DUMMYFUNCTION("""COMPUTED_VALUE"""),3)</f>
        <v>3</v>
      </c>
      <c r="AB7" s="42" t="str">
        <f ca="1">IFERROR(__xludf.DUMMYFUNCTION("""COMPUTED_VALUE"""),"https://drive.google.com/file/d/1t5ngyeQEJtY_3hQsmhPK-jypKWBCxWJy/view?usp=sharing")</f>
        <v>https://drive.google.com/file/d/1t5ngyeQEJtY_3hQsmhPK-jypKWBCxWJy/view?usp=sharing</v>
      </c>
      <c r="AC7" s="41">
        <f ca="1">IFERROR(__xludf.DUMMYFUNCTION("""COMPUTED_VALUE"""),3)</f>
        <v>3</v>
      </c>
      <c r="AD7" s="41">
        <f ca="1">IFERROR(__xludf.DUMMYFUNCTION("""COMPUTED_VALUE"""),4)</f>
        <v>4</v>
      </c>
      <c r="AE7" s="41">
        <f ca="1">IFERROR(__xludf.DUMMYFUNCTION("""COMPUTED_VALUE"""),4)</f>
        <v>4</v>
      </c>
      <c r="AF7" s="42" t="str">
        <f ca="1">IFERROR(__xludf.DUMMYFUNCTION("""COMPUTED_VALUE"""),"https://drive.google.com/file/d/1R_x22fnBZiFrlkEEOhbGKKoVxeuYS1KL/view?usp=sharing")</f>
        <v>https://drive.google.com/file/d/1R_x22fnBZiFrlkEEOhbGKKoVxeuYS1KL/view?usp=sharing</v>
      </c>
      <c r="AG7" s="41">
        <f ca="1">IFERROR(__xludf.DUMMYFUNCTION("""COMPUTED_VALUE"""),4)</f>
        <v>4</v>
      </c>
      <c r="AH7" s="41">
        <f ca="1">IFERROR(__xludf.DUMMYFUNCTION("""COMPUTED_VALUE"""),5)</f>
        <v>5</v>
      </c>
      <c r="AI7" s="41">
        <f ca="1">IFERROR(__xludf.DUMMYFUNCTION("""COMPUTED_VALUE"""),5)</f>
        <v>5</v>
      </c>
      <c r="AJ7" s="42" t="str">
        <f ca="1">IFERROR(__xludf.DUMMYFUNCTION("""COMPUTED_VALUE"""),"https://drive.google.com/file/d/12lTXaBavqKTLVKf0QVQnXWUZ6Ps7zd_M/view?usp=sharing")</f>
        <v>https://drive.google.com/file/d/12lTXaBavqKTLVKf0QVQnXWUZ6Ps7zd_M/view?usp=sharing</v>
      </c>
      <c r="AK7" s="41">
        <f ca="1">IFERROR(__xludf.DUMMYFUNCTION("""COMPUTED_VALUE"""),1)</f>
        <v>1</v>
      </c>
      <c r="AL7" s="41">
        <f ca="1">IFERROR(__xludf.DUMMYFUNCTION("""COMPUTED_VALUE"""),3)</f>
        <v>3</v>
      </c>
      <c r="AM7" s="41">
        <f ca="1">IFERROR(__xludf.DUMMYFUNCTION("""COMPUTED_VALUE"""),3)</f>
        <v>3</v>
      </c>
      <c r="AN7" s="41" t="str">
        <f ca="1">IFERROR(__xludf.DUMMYFUNCTION("""COMPUTED_VALUE"""),"-")</f>
        <v>-</v>
      </c>
      <c r="AO7" s="41">
        <f ca="1">IFERROR(__xludf.DUMMYFUNCTION("""COMPUTED_VALUE"""),4)</f>
        <v>4</v>
      </c>
      <c r="AP7" s="41">
        <f ca="1">IFERROR(__xludf.DUMMYFUNCTION("""COMPUTED_VALUE"""),5)</f>
        <v>5</v>
      </c>
      <c r="AQ7" s="41">
        <f ca="1">IFERROR(__xludf.DUMMYFUNCTION("""COMPUTED_VALUE"""),5)</f>
        <v>5</v>
      </c>
      <c r="AR7" s="42" t="str">
        <f ca="1">IFERROR(__xludf.DUMMYFUNCTION("""COMPUTED_VALUE"""),"https://drive.google.com/file/d/1Kehe-PqsCqOv1Ii061uJprI-uyFfGLMj/view?usp=sharing")</f>
        <v>https://drive.google.com/file/d/1Kehe-PqsCqOv1Ii061uJprI-uyFfGLMj/view?usp=sharing</v>
      </c>
      <c r="AS7" s="41">
        <f ca="1">IFERROR(__xludf.DUMMYFUNCTION("""COMPUTED_VALUE"""),3)</f>
        <v>3</v>
      </c>
      <c r="AT7" s="41">
        <f ca="1">IFERROR(__xludf.DUMMYFUNCTION("""COMPUTED_VALUE"""),4)</f>
        <v>4</v>
      </c>
      <c r="AU7" s="41">
        <f ca="1">IFERROR(__xludf.DUMMYFUNCTION("""COMPUTED_VALUE"""),4)</f>
        <v>4</v>
      </c>
      <c r="AV7" s="42" t="str">
        <f ca="1">IFERROR(__xludf.DUMMYFUNCTION("""COMPUTED_VALUE"""),"https://drive.google.com/file/d/1v1yh0rMBb1NmImxxpo19wI-H8yVx47qJ/view?usp=sharing")</f>
        <v>https://drive.google.com/file/d/1v1yh0rMBb1NmImxxpo19wI-H8yVx47qJ/view?usp=sharing</v>
      </c>
      <c r="AW7" s="41">
        <f ca="1">IFERROR(__xludf.DUMMYFUNCTION("""COMPUTED_VALUE"""),3)</f>
        <v>3</v>
      </c>
      <c r="AX7" s="41">
        <f ca="1">IFERROR(__xludf.DUMMYFUNCTION("""COMPUTED_VALUE"""),4)</f>
        <v>4</v>
      </c>
      <c r="AY7" s="41">
        <f ca="1">IFERROR(__xludf.DUMMYFUNCTION("""COMPUTED_VALUE"""),4)</f>
        <v>4</v>
      </c>
      <c r="AZ7" s="42" t="str">
        <f ca="1">IFERROR(__xludf.DUMMYFUNCTION("""COMPUTED_VALUE"""),"https://drive.google.com/file/d/1wydMS48FR0Wmj3TMeEPhREPlKTut538j/view?usp=sharing")</f>
        <v>https://drive.google.com/file/d/1wydMS48FR0Wmj3TMeEPhREPlKTut538j/view?usp=sharing</v>
      </c>
      <c r="BA7" s="41">
        <f ca="1">IFERROR(__xludf.DUMMYFUNCTION("""COMPUTED_VALUE"""),3)</f>
        <v>3</v>
      </c>
      <c r="BB7" s="41">
        <f ca="1">IFERROR(__xludf.DUMMYFUNCTION("""COMPUTED_VALUE"""),4)</f>
        <v>4</v>
      </c>
      <c r="BC7" s="41">
        <f ca="1">IFERROR(__xludf.DUMMYFUNCTION("""COMPUTED_VALUE"""),4)</f>
        <v>4</v>
      </c>
      <c r="BD7" s="42" t="str">
        <f ca="1">IFERROR(__xludf.DUMMYFUNCTION("""COMPUTED_VALUE"""),"https://drive.google.com/file/d/1_73kEzeKETjQSUNJscZ4IfbEiE9v_ZBI/view?usp=sharing")</f>
        <v>https://drive.google.com/file/d/1_73kEzeKETjQSUNJscZ4IfbEiE9v_ZBI/view?usp=sharing</v>
      </c>
      <c r="BE7" s="41">
        <f ca="1">IFERROR(__xludf.DUMMYFUNCTION("""COMPUTED_VALUE"""),3)</f>
        <v>3</v>
      </c>
      <c r="BF7" s="41">
        <f ca="1">IFERROR(__xludf.DUMMYFUNCTION("""COMPUTED_VALUE"""),4)</f>
        <v>4</v>
      </c>
      <c r="BG7" s="41">
        <f ca="1">IFERROR(__xludf.DUMMYFUNCTION("""COMPUTED_VALUE"""),4)</f>
        <v>4</v>
      </c>
      <c r="BH7" s="42" t="str">
        <f ca="1">IFERROR(__xludf.DUMMYFUNCTION("""COMPUTED_VALUE"""),"https://drive.google.com/file/d/1poIqMCJ8m-xxoYx7SsENLofaJHkk4r9I/view?usp=sharing")</f>
        <v>https://drive.google.com/file/d/1poIqMCJ8m-xxoYx7SsENLofaJHkk4r9I/view?usp=sharing</v>
      </c>
      <c r="BI7" s="41">
        <f ca="1">IFERROR(__xludf.DUMMYFUNCTION("""COMPUTED_VALUE"""),3)</f>
        <v>3</v>
      </c>
      <c r="BJ7" s="41">
        <f ca="1">IFERROR(__xludf.DUMMYFUNCTION("""COMPUTED_VALUE"""),4)</f>
        <v>4</v>
      </c>
      <c r="BK7" s="41">
        <f ca="1">IFERROR(__xludf.DUMMYFUNCTION("""COMPUTED_VALUE"""),4)</f>
        <v>4</v>
      </c>
      <c r="BL7" s="42" t="str">
        <f ca="1">IFERROR(__xludf.DUMMYFUNCTION("""COMPUTED_VALUE"""),"https://drive.google.com/file/d/194PsFhXERFAlMTB1IvmPXMeej2MqJPFG/view?usp=sharing")</f>
        <v>https://drive.google.com/file/d/194PsFhXERFAlMTB1IvmPXMeej2MqJPFG/view?usp=sharing</v>
      </c>
      <c r="BM7" s="41">
        <f ca="1">IFERROR(__xludf.DUMMYFUNCTION("""COMPUTED_VALUE"""),4)</f>
        <v>4</v>
      </c>
      <c r="BN7" s="41">
        <f ca="1">IFERROR(__xludf.DUMMYFUNCTION("""COMPUTED_VALUE"""),5)</f>
        <v>5</v>
      </c>
      <c r="BO7" s="41">
        <f ca="1">IFERROR(__xludf.DUMMYFUNCTION("""COMPUTED_VALUE"""),5)</f>
        <v>5</v>
      </c>
      <c r="BP7" s="42" t="str">
        <f ca="1">IFERROR(__xludf.DUMMYFUNCTION("""COMPUTED_VALUE"""),"https://drive.google.com/file/d/1HQdo8871KR9gUlx7pKB_dyORWKZLQTl2/view?usp=sharing")</f>
        <v>https://drive.google.com/file/d/1HQdo8871KR9gUlx7pKB_dyORWKZLQTl2/view?usp=sharing</v>
      </c>
      <c r="BQ7" s="41">
        <f ca="1">IFERROR(__xludf.DUMMYFUNCTION("""COMPUTED_VALUE"""),2)</f>
        <v>2</v>
      </c>
      <c r="BR7" s="41">
        <f ca="1">IFERROR(__xludf.DUMMYFUNCTION("""COMPUTED_VALUE"""),3)</f>
        <v>3</v>
      </c>
      <c r="BS7" s="41">
        <f ca="1">IFERROR(__xludf.DUMMYFUNCTION("""COMPUTED_VALUE"""),3)</f>
        <v>3</v>
      </c>
      <c r="BT7" s="42" t="str">
        <f ca="1">IFERROR(__xludf.DUMMYFUNCTION("""COMPUTED_VALUE"""),"https://drive.google.com/file/d/17fkHwUFRIWV22-e-VZq9oxfaJHgrZkV4/view?usp=sharing")</f>
        <v>https://drive.google.com/file/d/17fkHwUFRIWV22-e-VZq9oxfaJHgrZkV4/view?usp=sharing</v>
      </c>
      <c r="BU7" s="41">
        <f ca="1">IFERROR(__xludf.DUMMYFUNCTION("""COMPUTED_VALUE"""),3)</f>
        <v>3</v>
      </c>
      <c r="BV7" s="41">
        <f ca="1">IFERROR(__xludf.DUMMYFUNCTION("""COMPUTED_VALUE"""),4)</f>
        <v>4</v>
      </c>
      <c r="BW7" s="41">
        <f ca="1">IFERROR(__xludf.DUMMYFUNCTION("""COMPUTED_VALUE"""),4)</f>
        <v>4</v>
      </c>
      <c r="BX7" s="42" t="str">
        <f ca="1">IFERROR(__xludf.DUMMYFUNCTION("""COMPUTED_VALUE"""),"https://drive.google.com/file/d/1Uu0n14NFdwgDNcVzBdOYXu1EEoTbMmxt/view?usp=sharing")</f>
        <v>https://drive.google.com/file/d/1Uu0n14NFdwgDNcVzBdOYXu1EEoTbMmxt/view?usp=sharing</v>
      </c>
      <c r="BY7" s="41">
        <f ca="1">IFERROR(__xludf.DUMMYFUNCTION("""COMPUTED_VALUE"""),4)</f>
        <v>4</v>
      </c>
      <c r="BZ7" s="41">
        <f ca="1">IFERROR(__xludf.DUMMYFUNCTION("""COMPUTED_VALUE"""),5)</f>
        <v>5</v>
      </c>
      <c r="CA7" s="41">
        <f ca="1">IFERROR(__xludf.DUMMYFUNCTION("""COMPUTED_VALUE"""),5)</f>
        <v>5</v>
      </c>
      <c r="CB7" s="42" t="str">
        <f ca="1">IFERROR(__xludf.DUMMYFUNCTION("""COMPUTED_VALUE"""),"https://drive.google.com/file/d/1w-sATADnB2JKdbFvhmXJRQZuWfRCtqT7/view?usp=sharing")</f>
        <v>https://drive.google.com/file/d/1w-sATADnB2JKdbFvhmXJRQZuWfRCtqT7/view?usp=sharing</v>
      </c>
      <c r="CC7" s="41" t="str">
        <f ca="1">IFERROR(__xludf.DUMMYFUNCTION("""COMPUTED_VALUE"""),"Kepala Sekolah dan seluruh staf yang ada di sekolah UPT SPF TK NEGERI PAGAR MERBAU akan melaksanakan dan lebih memperbaiki semua lingkungan yang ada disekolah")</f>
        <v>Kepala Sekolah dan seluruh staf yang ada di sekolah UPT SPF TK NEGERI PAGAR MERBAU akan melaksanakan dan lebih memperbaiki semua lingkungan yang ada disekolah</v>
      </c>
      <c r="CD7" s="66">
        <f ca="1"/>
        <v>3</v>
      </c>
      <c r="CE7" s="67">
        <f ca="1"/>
        <v>4.0588235294117645</v>
      </c>
      <c r="CF7" s="67">
        <f ca="1"/>
        <v>4.0588235294117645</v>
      </c>
      <c r="CG7" s="67">
        <f ca="1"/>
        <v>1.0588235294117645</v>
      </c>
      <c r="CH7" s="68">
        <f ca="1"/>
        <v>2.75</v>
      </c>
      <c r="CI7" s="68">
        <f ca="1"/>
        <v>3.75</v>
      </c>
      <c r="CJ7" s="68">
        <f ca="1"/>
        <v>3.75</v>
      </c>
      <c r="CK7" s="68">
        <f ca="1"/>
        <v>1</v>
      </c>
      <c r="CL7" s="70">
        <f ca="1"/>
        <v>2.6666666666666665</v>
      </c>
      <c r="CM7" s="70">
        <f ca="1"/>
        <v>4</v>
      </c>
      <c r="CN7" s="70">
        <f ca="1"/>
        <v>4</v>
      </c>
      <c r="CO7" s="70">
        <f ca="1"/>
        <v>1.3333333333333335</v>
      </c>
      <c r="CP7" s="72">
        <f ca="1"/>
        <v>3.5</v>
      </c>
      <c r="CQ7" s="72">
        <f ca="1"/>
        <v>4.5</v>
      </c>
      <c r="CR7" s="72">
        <f ca="1"/>
        <v>4.5</v>
      </c>
      <c r="CS7" s="72">
        <f ca="1"/>
        <v>1</v>
      </c>
      <c r="CT7" s="74">
        <f ca="1"/>
        <v>3</v>
      </c>
      <c r="CU7" s="74">
        <f ca="1"/>
        <v>4</v>
      </c>
      <c r="CV7" s="74">
        <f ca="1"/>
        <v>4</v>
      </c>
      <c r="CW7" s="74">
        <f ca="1"/>
        <v>1</v>
      </c>
      <c r="CX7" s="76">
        <f ca="1"/>
        <v>3</v>
      </c>
      <c r="CY7" s="76">
        <f ca="1"/>
        <v>4</v>
      </c>
      <c r="CZ7" s="76">
        <f ca="1"/>
        <v>4</v>
      </c>
      <c r="DA7" s="76">
        <f ca="1"/>
        <v>1</v>
      </c>
      <c r="DB7" s="78">
        <f ca="1"/>
        <v>3.2</v>
      </c>
      <c r="DC7" s="78">
        <f ca="1"/>
        <v>4.2</v>
      </c>
      <c r="DD7" s="78">
        <f ca="1"/>
        <v>4.2</v>
      </c>
      <c r="DE7" s="78">
        <f ca="1"/>
        <v>1</v>
      </c>
    </row>
    <row r="8" spans="1:129" x14ac:dyDescent="0.3">
      <c r="A8" s="65">
        <f ca="1">IFERROR(__xludf.DUMMYFUNCTION("""COMPUTED_VALUE"""),46109.5393547222)</f>
        <v>46109.539354722197</v>
      </c>
      <c r="B8" s="41" t="str">
        <f ca="1">IFERROR(__xludf.DUMMYFUNCTION("""COMPUTED_VALUE"""),"damaristasidauruk188@dinas.belajar.id")</f>
        <v>damaristasidauruk188@dinas.belajar.id</v>
      </c>
      <c r="C8" s="41">
        <f ca="1">IFERROR(__xludf.DUMMYFUNCTION("""COMPUTED_VALUE"""),69909023)</f>
        <v>69909023</v>
      </c>
      <c r="D8" s="41" t="str">
        <f ca="1">IFERROR(__xludf.DUMMYFUNCTION("""COMPUTED_VALUE"""),"Pantai Labu")</f>
        <v>Pantai Labu</v>
      </c>
      <c r="E8" s="41" t="str">
        <f ca="1">IFERROR(__xludf.DUMMYFUNCTION("""COMPUTED_VALUE"""),"TK")</f>
        <v>TK</v>
      </c>
      <c r="F8" s="41" t="str">
        <f ca="1">IFERROR(__xludf.DUMMYFUNCTION("""COMPUTED_VALUE"""),"UPT SPF TK SATU ATAP 01 PANTAI LABU")</f>
        <v>UPT SPF TK SATU ATAP 01 PANTAI LABU</v>
      </c>
      <c r="G8" s="41" t="str">
        <f ca="1">IFERROR(__xludf.DUMMYFUNCTION("""COMPUTED_VALUE"""),"DAMARISTA SIDAURUK S.Pd")</f>
        <v>DAMARISTA SIDAURUK S.Pd</v>
      </c>
      <c r="H8" s="41" t="str">
        <f ca="1">IFERROR(__xludf.DUMMYFUNCTION("""COMPUTED_VALUE"""),"082162490225")</f>
        <v>082162490225</v>
      </c>
      <c r="I8" s="41" t="str">
        <f ca="1">IFERROR(__xludf.DUMMYFUNCTION("""COMPUTED_VALUE"""),"ABRARA MANJA")</f>
        <v>ABRARA MANJA</v>
      </c>
      <c r="J8" s="41" t="str">
        <f ca="1">IFERROR(__xludf.DUMMYFUNCTION("""COMPUTED_VALUE"""),"082164866294")</f>
        <v>082164866294</v>
      </c>
      <c r="K8" s="41" t="str">
        <f ca="1">IFERROR(__xludf.DUMMYFUNCTION("""COMPUTED_VALUE"""),"Maret")</f>
        <v>Maret</v>
      </c>
      <c r="L8" s="41" t="str">
        <f ca="1">IFERROR(__xludf.DUMMYFUNCTION("""COMPUTED_VALUE"""),"I")</f>
        <v>I</v>
      </c>
      <c r="M8" s="41">
        <f ca="1">IFERROR(__xludf.DUMMYFUNCTION("""COMPUTED_VALUE"""),2)</f>
        <v>2</v>
      </c>
      <c r="N8" s="41">
        <f ca="1">IFERROR(__xludf.DUMMYFUNCTION("""COMPUTED_VALUE"""),4)</f>
        <v>4</v>
      </c>
      <c r="O8" s="41">
        <f ca="1">IFERROR(__xludf.DUMMYFUNCTION("""COMPUTED_VALUE"""),2)</f>
        <v>2</v>
      </c>
      <c r="P8" s="42" t="str">
        <f ca="1">IFERROR(__xludf.DUMMYFUNCTION("""COMPUTED_VALUE"""),"https://drive.google.com/drive/folders/1A4OWGCNsR9dd5vLH-rfILL4crWyx2agw?usp=sharing")</f>
        <v>https://drive.google.com/drive/folders/1A4OWGCNsR9dd5vLH-rfILL4crWyx2agw?usp=sharing</v>
      </c>
      <c r="Q8" s="41">
        <f ca="1">IFERROR(__xludf.DUMMYFUNCTION("""COMPUTED_VALUE"""),3)</f>
        <v>3</v>
      </c>
      <c r="R8" s="41">
        <f ca="1">IFERROR(__xludf.DUMMYFUNCTION("""COMPUTED_VALUE"""),4)</f>
        <v>4</v>
      </c>
      <c r="S8" s="41">
        <f ca="1">IFERROR(__xludf.DUMMYFUNCTION("""COMPUTED_VALUE"""),4)</f>
        <v>4</v>
      </c>
      <c r="T8" s="42" t="str">
        <f ca="1">IFERROR(__xludf.DUMMYFUNCTION("""COMPUTED_VALUE"""),"https://drive.google.com/drive/folders/1pAByOLL5U3FQtIFtYV5F6qr8v0pqocpe?usp=sharing")</f>
        <v>https://drive.google.com/drive/folders/1pAByOLL5U3FQtIFtYV5F6qr8v0pqocpe?usp=sharing</v>
      </c>
      <c r="U8" s="41">
        <f ca="1">IFERROR(__xludf.DUMMYFUNCTION("""COMPUTED_VALUE"""),3)</f>
        <v>3</v>
      </c>
      <c r="V8" s="41">
        <f ca="1">IFERROR(__xludf.DUMMYFUNCTION("""COMPUTED_VALUE"""),4)</f>
        <v>4</v>
      </c>
      <c r="W8" s="41">
        <f ca="1">IFERROR(__xludf.DUMMYFUNCTION("""COMPUTED_VALUE"""),4)</f>
        <v>4</v>
      </c>
      <c r="X8" s="42" t="str">
        <f ca="1">IFERROR(__xludf.DUMMYFUNCTION("""COMPUTED_VALUE"""),"https://drive.google.com/drive/folders/15v6A0PUMY8daTJXa0lWawElBOA9S8lr4?usp=sharing")</f>
        <v>https://drive.google.com/drive/folders/15v6A0PUMY8daTJXa0lWawElBOA9S8lr4?usp=sharing</v>
      </c>
      <c r="Y8" s="41">
        <f ca="1">IFERROR(__xludf.DUMMYFUNCTION("""COMPUTED_VALUE"""),3)</f>
        <v>3</v>
      </c>
      <c r="Z8" s="41">
        <f ca="1">IFERROR(__xludf.DUMMYFUNCTION("""COMPUTED_VALUE"""),4)</f>
        <v>4</v>
      </c>
      <c r="AA8" s="41">
        <f ca="1">IFERROR(__xludf.DUMMYFUNCTION("""COMPUTED_VALUE"""),4)</f>
        <v>4</v>
      </c>
      <c r="AB8" s="42" t="str">
        <f ca="1">IFERROR(__xludf.DUMMYFUNCTION("""COMPUTED_VALUE"""),"https://drive.google.com/drive/folders/1QykT9Jyq7mLu20XAufjxYYUP2aZBjZfe?usp=sharing")</f>
        <v>https://drive.google.com/drive/folders/1QykT9Jyq7mLu20XAufjxYYUP2aZBjZfe?usp=sharing</v>
      </c>
      <c r="AC8" s="41">
        <f ca="1">IFERROR(__xludf.DUMMYFUNCTION("""COMPUTED_VALUE"""),3)</f>
        <v>3</v>
      </c>
      <c r="AD8" s="41">
        <f ca="1">IFERROR(__xludf.DUMMYFUNCTION("""COMPUTED_VALUE"""),4)</f>
        <v>4</v>
      </c>
      <c r="AE8" s="41">
        <f ca="1">IFERROR(__xludf.DUMMYFUNCTION("""COMPUTED_VALUE"""),4)</f>
        <v>4</v>
      </c>
      <c r="AF8" s="42" t="str">
        <f ca="1">IFERROR(__xludf.DUMMYFUNCTION("""COMPUTED_VALUE"""),"https://drive.google.com/drive/folders/1evOR_1-AOcfOqFcNOSPSGZ58blYo0fnI?usp=sharing")</f>
        <v>https://drive.google.com/drive/folders/1evOR_1-AOcfOqFcNOSPSGZ58blYo0fnI?usp=sharing</v>
      </c>
      <c r="AG8" s="41">
        <f ca="1">IFERROR(__xludf.DUMMYFUNCTION("""COMPUTED_VALUE"""),3)</f>
        <v>3</v>
      </c>
      <c r="AH8" s="41">
        <f ca="1">IFERROR(__xludf.DUMMYFUNCTION("""COMPUTED_VALUE"""),4)</f>
        <v>4</v>
      </c>
      <c r="AI8" s="41">
        <f ca="1">IFERROR(__xludf.DUMMYFUNCTION("""COMPUTED_VALUE"""),4)</f>
        <v>4</v>
      </c>
      <c r="AJ8" s="42" t="str">
        <f ca="1">IFERROR(__xludf.DUMMYFUNCTION("""COMPUTED_VALUE"""),"https://drive.google.com/drive/folders/1YS8JCVX1xJOKTUejPSybctpRFvfoQedM?usp=sharing")</f>
        <v>https://drive.google.com/drive/folders/1YS8JCVX1xJOKTUejPSybctpRFvfoQedM?usp=sharing</v>
      </c>
      <c r="AK8" s="41">
        <f ca="1">IFERROR(__xludf.DUMMYFUNCTION("""COMPUTED_VALUE"""),1)</f>
        <v>1</v>
      </c>
      <c r="AL8" s="41">
        <f ca="1">IFERROR(__xludf.DUMMYFUNCTION("""COMPUTED_VALUE"""),2)</f>
        <v>2</v>
      </c>
      <c r="AM8" s="41">
        <f ca="1">IFERROR(__xludf.DUMMYFUNCTION("""COMPUTED_VALUE"""),2)</f>
        <v>2</v>
      </c>
      <c r="AN8" s="41">
        <f ca="1">IFERROR(__xludf.DUMMYFUNCTION("""COMPUTED_VALUE"""),0)</f>
        <v>0</v>
      </c>
      <c r="AO8" s="41">
        <f ca="1">IFERROR(__xludf.DUMMYFUNCTION("""COMPUTED_VALUE"""),3)</f>
        <v>3</v>
      </c>
      <c r="AP8" s="41">
        <f ca="1">IFERROR(__xludf.DUMMYFUNCTION("""COMPUTED_VALUE"""),4)</f>
        <v>4</v>
      </c>
      <c r="AQ8" s="41">
        <f ca="1">IFERROR(__xludf.DUMMYFUNCTION("""COMPUTED_VALUE"""),4)</f>
        <v>4</v>
      </c>
      <c r="AR8" s="42" t="str">
        <f ca="1">IFERROR(__xludf.DUMMYFUNCTION("""COMPUTED_VALUE"""),"https://drive.google.com/drive/folders/1gCICDO4wLC5DNDrrRIiz41SgOGRzns8O?usp=sharing")</f>
        <v>https://drive.google.com/drive/folders/1gCICDO4wLC5DNDrrRIiz41SgOGRzns8O?usp=sharing</v>
      </c>
      <c r="AS8" s="41">
        <f ca="1">IFERROR(__xludf.DUMMYFUNCTION("""COMPUTED_VALUE"""),2)</f>
        <v>2</v>
      </c>
      <c r="AT8" s="41">
        <f ca="1">IFERROR(__xludf.DUMMYFUNCTION("""COMPUTED_VALUE"""),4)</f>
        <v>4</v>
      </c>
      <c r="AU8" s="41">
        <f ca="1">IFERROR(__xludf.DUMMYFUNCTION("""COMPUTED_VALUE"""),3)</f>
        <v>3</v>
      </c>
      <c r="AV8" s="41">
        <f ca="1">IFERROR(__xludf.DUMMYFUNCTION("""COMPUTED_VALUE"""),0)</f>
        <v>0</v>
      </c>
      <c r="AW8" s="41">
        <f ca="1">IFERROR(__xludf.DUMMYFUNCTION("""COMPUTED_VALUE"""),1)</f>
        <v>1</v>
      </c>
      <c r="AX8" s="41">
        <f ca="1">IFERROR(__xludf.DUMMYFUNCTION("""COMPUTED_VALUE"""),3)</f>
        <v>3</v>
      </c>
      <c r="AY8" s="41">
        <f ca="1">IFERROR(__xludf.DUMMYFUNCTION("""COMPUTED_VALUE"""),2)</f>
        <v>2</v>
      </c>
      <c r="AZ8" s="41">
        <f ca="1">IFERROR(__xludf.DUMMYFUNCTION("""COMPUTED_VALUE"""),0)</f>
        <v>0</v>
      </c>
      <c r="BA8" s="41">
        <f ca="1">IFERROR(__xludf.DUMMYFUNCTION("""COMPUTED_VALUE"""),2)</f>
        <v>2</v>
      </c>
      <c r="BB8" s="41">
        <f ca="1">IFERROR(__xludf.DUMMYFUNCTION("""COMPUTED_VALUE"""),3)</f>
        <v>3</v>
      </c>
      <c r="BC8" s="41">
        <f ca="1">IFERROR(__xludf.DUMMYFUNCTION("""COMPUTED_VALUE"""),2)</f>
        <v>2</v>
      </c>
      <c r="BD8" s="41">
        <f ca="1">IFERROR(__xludf.DUMMYFUNCTION("""COMPUTED_VALUE"""),0)</f>
        <v>0</v>
      </c>
      <c r="BE8" s="41">
        <f ca="1">IFERROR(__xludf.DUMMYFUNCTION("""COMPUTED_VALUE"""),2)</f>
        <v>2</v>
      </c>
      <c r="BF8" s="41">
        <f ca="1">IFERROR(__xludf.DUMMYFUNCTION("""COMPUTED_VALUE"""),3)</f>
        <v>3</v>
      </c>
      <c r="BG8" s="41">
        <f ca="1">IFERROR(__xludf.DUMMYFUNCTION("""COMPUTED_VALUE"""),2)</f>
        <v>2</v>
      </c>
      <c r="BH8" s="41">
        <f ca="1">IFERROR(__xludf.DUMMYFUNCTION("""COMPUTED_VALUE"""),0)</f>
        <v>0</v>
      </c>
      <c r="BI8" s="41">
        <f ca="1">IFERROR(__xludf.DUMMYFUNCTION("""COMPUTED_VALUE"""),1)</f>
        <v>1</v>
      </c>
      <c r="BJ8" s="41">
        <f ca="1">IFERROR(__xludf.DUMMYFUNCTION("""COMPUTED_VALUE"""),2)</f>
        <v>2</v>
      </c>
      <c r="BK8" s="41">
        <f ca="1">IFERROR(__xludf.DUMMYFUNCTION("""COMPUTED_VALUE"""),2)</f>
        <v>2</v>
      </c>
      <c r="BL8" s="41">
        <f ca="1">IFERROR(__xludf.DUMMYFUNCTION("""COMPUTED_VALUE"""),0)</f>
        <v>0</v>
      </c>
      <c r="BM8" s="41">
        <f ca="1">IFERROR(__xludf.DUMMYFUNCTION("""COMPUTED_VALUE"""),2)</f>
        <v>2</v>
      </c>
      <c r="BN8" s="41">
        <f ca="1">IFERROR(__xludf.DUMMYFUNCTION("""COMPUTED_VALUE"""),3)</f>
        <v>3</v>
      </c>
      <c r="BO8" s="41">
        <f ca="1">IFERROR(__xludf.DUMMYFUNCTION("""COMPUTED_VALUE"""),2)</f>
        <v>2</v>
      </c>
      <c r="BP8" s="42" t="str">
        <f ca="1">IFERROR(__xludf.DUMMYFUNCTION("""COMPUTED_VALUE"""),"https://drive.google.com/drive/folders/1xGRAZkvP9yQLunxK4JDd_O4MoUS8BsXS?usp=sharing")</f>
        <v>https://drive.google.com/drive/folders/1xGRAZkvP9yQLunxK4JDd_O4MoUS8BsXS?usp=sharing</v>
      </c>
      <c r="BQ8" s="41">
        <f ca="1">IFERROR(__xludf.DUMMYFUNCTION("""COMPUTED_VALUE"""),3)</f>
        <v>3</v>
      </c>
      <c r="BR8" s="41">
        <f ca="1">IFERROR(__xludf.DUMMYFUNCTION("""COMPUTED_VALUE"""),4)</f>
        <v>4</v>
      </c>
      <c r="BS8" s="41">
        <f ca="1">IFERROR(__xludf.DUMMYFUNCTION("""COMPUTED_VALUE"""),4)</f>
        <v>4</v>
      </c>
      <c r="BT8" s="42" t="str">
        <f ca="1">IFERROR(__xludf.DUMMYFUNCTION("""COMPUTED_VALUE"""),"https://drive.google.com/drive/folders/1qhZ6p_Xj4bFhspGORVqKYpMUwycjEom9?usp=sharinghttps://drive.google.com/drive/folders/1wC7aI7chz0sdff26vn7fywhevF6goKua?usp=sharing")</f>
        <v>https://drive.google.com/drive/folders/1qhZ6p_Xj4bFhspGORVqKYpMUwycjEom9?usp=sharinghttps://drive.google.com/drive/folders/1wC7aI7chz0sdff26vn7fywhevF6goKua?usp=sharing</v>
      </c>
      <c r="BU8" s="41">
        <f ca="1">IFERROR(__xludf.DUMMYFUNCTION("""COMPUTED_VALUE"""),2)</f>
        <v>2</v>
      </c>
      <c r="BV8" s="41">
        <f ca="1">IFERROR(__xludf.DUMMYFUNCTION("""COMPUTED_VALUE"""),3)</f>
        <v>3</v>
      </c>
      <c r="BW8" s="41">
        <f ca="1">IFERROR(__xludf.DUMMYFUNCTION("""COMPUTED_VALUE"""),3)</f>
        <v>3</v>
      </c>
      <c r="BX8" s="42" t="str">
        <f ca="1">IFERROR(__xludf.DUMMYFUNCTION("""COMPUTED_VALUE"""),"https://drive.google.com/drive/folders/1wC7aI7chz0sdff26vn7fywhevF6goKua?usp=sharing")</f>
        <v>https://drive.google.com/drive/folders/1wC7aI7chz0sdff26vn7fywhevF6goKua?usp=sharing</v>
      </c>
      <c r="BY8" s="41">
        <f ca="1">IFERROR(__xludf.DUMMYFUNCTION("""COMPUTED_VALUE"""),4)</f>
        <v>4</v>
      </c>
      <c r="BZ8" s="41">
        <f ca="1">IFERROR(__xludf.DUMMYFUNCTION("""COMPUTED_VALUE"""),4)</f>
        <v>4</v>
      </c>
      <c r="CA8" s="41">
        <f ca="1">IFERROR(__xludf.DUMMYFUNCTION("""COMPUTED_VALUE"""),4)</f>
        <v>4</v>
      </c>
      <c r="CB8" s="42" t="str">
        <f ca="1">IFERROR(__xludf.DUMMYFUNCTION("""COMPUTED_VALUE"""),"https://drive.google.com/drive/folders/1uVGzryscuEea4ZkMaJ-Lv9dTphDqHVaF?usp=sharing")</f>
        <v>https://drive.google.com/drive/folders/1uVGzryscuEea4ZkMaJ-Lv9dTphDqHVaF?usp=sharing</v>
      </c>
      <c r="CC8" s="41" t="str">
        <f ca="1">IFERROR(__xludf.DUMMYFUNCTION("""COMPUTED_VALUE"""),"semangat memperbaiki")</f>
        <v>semangat memperbaiki</v>
      </c>
      <c r="CD8" s="66">
        <f ca="1"/>
        <v>2.3529411764705883</v>
      </c>
      <c r="CE8" s="67">
        <f ca="1"/>
        <v>3.4705882352941178</v>
      </c>
      <c r="CF8" s="67">
        <f ca="1"/>
        <v>3.0588235294117645</v>
      </c>
      <c r="CG8" s="67">
        <f ca="1"/>
        <v>0.70588235294117618</v>
      </c>
      <c r="CH8" s="68">
        <f ca="1"/>
        <v>2.75</v>
      </c>
      <c r="CI8" s="68">
        <f ca="1"/>
        <v>4</v>
      </c>
      <c r="CJ8" s="68">
        <f ca="1"/>
        <v>3.5</v>
      </c>
      <c r="CK8" s="68">
        <f ca="1"/>
        <v>0.75</v>
      </c>
      <c r="CL8" s="70">
        <f ca="1"/>
        <v>2.3333333333333335</v>
      </c>
      <c r="CM8" s="70">
        <f ca="1"/>
        <v>3.3333333333333335</v>
      </c>
      <c r="CN8" s="70">
        <f ca="1"/>
        <v>3.3333333333333335</v>
      </c>
      <c r="CO8" s="70">
        <f ca="1"/>
        <v>1</v>
      </c>
      <c r="CP8" s="72">
        <f ca="1"/>
        <v>2.5</v>
      </c>
      <c r="CQ8" s="72">
        <f ca="1"/>
        <v>4</v>
      </c>
      <c r="CR8" s="72">
        <f ca="1"/>
        <v>3.5</v>
      </c>
      <c r="CS8" s="72">
        <f ca="1"/>
        <v>1</v>
      </c>
      <c r="CT8" s="74">
        <f ca="1"/>
        <v>1</v>
      </c>
      <c r="CU8" s="74">
        <f ca="1"/>
        <v>3</v>
      </c>
      <c r="CV8" s="74">
        <f ca="1"/>
        <v>2</v>
      </c>
      <c r="CW8" s="74">
        <f ca="1"/>
        <v>1</v>
      </c>
      <c r="CX8" s="76">
        <f ca="1"/>
        <v>2</v>
      </c>
      <c r="CY8" s="76">
        <f ca="1"/>
        <v>3</v>
      </c>
      <c r="CZ8" s="76">
        <f ca="1"/>
        <v>2</v>
      </c>
      <c r="DA8" s="76">
        <f ca="1"/>
        <v>0</v>
      </c>
      <c r="DB8" s="78">
        <f ca="1"/>
        <v>2.4</v>
      </c>
      <c r="DC8" s="78">
        <f ca="1"/>
        <v>3.2</v>
      </c>
      <c r="DD8" s="78">
        <f ca="1"/>
        <v>3</v>
      </c>
      <c r="DE8" s="78">
        <f ca="1"/>
        <v>0.60000000000000009</v>
      </c>
    </row>
    <row r="9" spans="1:129" x14ac:dyDescent="0.3">
      <c r="A9" s="65">
        <f ca="1">IFERROR(__xludf.DUMMYFUNCTION("""COMPUTED_VALUE"""),46109.7118389583)</f>
        <v>46109.711838958297</v>
      </c>
      <c r="B9" s="41" t="str">
        <f ca="1">IFERROR(__xludf.DUMMYFUNCTION("""COMPUTED_VALUE"""),"nurati2707@gmail.com")</f>
        <v>nurati2707@gmail.com</v>
      </c>
      <c r="C9" s="41">
        <f ca="1">IFERROR(__xludf.DUMMYFUNCTION("""COMPUTED_VALUE"""),69893621)</f>
        <v>69893621</v>
      </c>
      <c r="D9" s="41" t="str">
        <f ca="1">IFERROR(__xludf.DUMMYFUNCTION("""COMPUTED_VALUE"""),"Sinembah Tanjung Muda Hilir")</f>
        <v>Sinembah Tanjung Muda Hilir</v>
      </c>
      <c r="E9" s="41" t="str">
        <f ca="1">IFERROR(__xludf.DUMMYFUNCTION("""COMPUTED_VALUE"""),"TK")</f>
        <v>TK</v>
      </c>
      <c r="F9" s="41" t="str">
        <f ca="1">IFERROR(__xludf.DUMMYFUNCTION("""COMPUTED_VALUE"""),"TKN SATU ATAP STM HILIR")</f>
        <v>TKN SATU ATAP STM HILIR</v>
      </c>
      <c r="G9" s="41" t="str">
        <f ca="1">IFERROR(__xludf.DUMMYFUNCTION("""COMPUTED_VALUE"""),"NURHAYATI, M.Pd")</f>
        <v>NURHAYATI, M.Pd</v>
      </c>
      <c r="H9" s="41" t="str">
        <f ca="1">IFERROR(__xludf.DUMMYFUNCTION("""COMPUTED_VALUE"""),"081263999220")</f>
        <v>081263999220</v>
      </c>
      <c r="I9" s="41" t="str">
        <f ca="1">IFERROR(__xludf.DUMMYFUNCTION("""COMPUTED_VALUE"""),"SITI FATIMAH SIHOMBING, S.Pd")</f>
        <v>SITI FATIMAH SIHOMBING, S.Pd</v>
      </c>
      <c r="J9" s="41" t="str">
        <f ca="1">IFERROR(__xludf.DUMMYFUNCTION("""COMPUTED_VALUE"""),"081262471432")</f>
        <v>081262471432</v>
      </c>
      <c r="K9" s="41" t="str">
        <f ca="1">IFERROR(__xludf.DUMMYFUNCTION("""COMPUTED_VALUE"""),"Maret")</f>
        <v>Maret</v>
      </c>
      <c r="L9" s="41" t="str">
        <f ca="1">IFERROR(__xludf.DUMMYFUNCTION("""COMPUTED_VALUE"""),"III")</f>
        <v>III</v>
      </c>
      <c r="M9" s="41">
        <f ca="1">IFERROR(__xludf.DUMMYFUNCTION("""COMPUTED_VALUE"""),3)</f>
        <v>3</v>
      </c>
      <c r="N9" s="41">
        <f ca="1">IFERROR(__xludf.DUMMYFUNCTION("""COMPUTED_VALUE"""),4)</f>
        <v>4</v>
      </c>
      <c r="O9" s="41">
        <f ca="1">IFERROR(__xludf.DUMMYFUNCTION("""COMPUTED_VALUE"""),3)</f>
        <v>3</v>
      </c>
      <c r="P9" s="42" t="str">
        <f ca="1">IFERROR(__xludf.DUMMYFUNCTION("""COMPUTED_VALUE"""),"https://drive.google.com/file/d/1irvSaw45YUCLcHUF5J0AyLADK9G9_gf5/view?usp=drive_link")</f>
        <v>https://drive.google.com/file/d/1irvSaw45YUCLcHUF5J0AyLADK9G9_gf5/view?usp=drive_link</v>
      </c>
      <c r="Q9" s="41">
        <f ca="1">IFERROR(__xludf.DUMMYFUNCTION("""COMPUTED_VALUE"""),3)</f>
        <v>3</v>
      </c>
      <c r="R9" s="41">
        <f ca="1">IFERROR(__xludf.DUMMYFUNCTION("""COMPUTED_VALUE"""),4)</f>
        <v>4</v>
      </c>
      <c r="S9" s="41">
        <f ca="1">IFERROR(__xludf.DUMMYFUNCTION("""COMPUTED_VALUE"""),3)</f>
        <v>3</v>
      </c>
      <c r="T9" s="42" t="str">
        <f ca="1">IFERROR(__xludf.DUMMYFUNCTION("""COMPUTED_VALUE"""),"https://drive.google.com/file/d/1PkHxgQ2B5DPEquv_X30Nc2Rs2R0VZFhh/view?usp=drive_link")</f>
        <v>https://drive.google.com/file/d/1PkHxgQ2B5DPEquv_X30Nc2Rs2R0VZFhh/view?usp=drive_link</v>
      </c>
      <c r="U9" s="41">
        <f ca="1">IFERROR(__xludf.DUMMYFUNCTION("""COMPUTED_VALUE"""),2)</f>
        <v>2</v>
      </c>
      <c r="V9" s="41">
        <f ca="1">IFERROR(__xludf.DUMMYFUNCTION("""COMPUTED_VALUE"""),4)</f>
        <v>4</v>
      </c>
      <c r="W9" s="41">
        <f ca="1">IFERROR(__xludf.DUMMYFUNCTION("""COMPUTED_VALUE"""),2)</f>
        <v>2</v>
      </c>
      <c r="X9" s="42" t="str">
        <f ca="1">IFERROR(__xludf.DUMMYFUNCTION("""COMPUTED_VALUE"""),"https://drive.google.com/file/d/1c4DCxIoWcWjc1Nz8Yw4Q_2jBdC3ONL6F/view?usp=drive_link")</f>
        <v>https://drive.google.com/file/d/1c4DCxIoWcWjc1Nz8Yw4Q_2jBdC3ONL6F/view?usp=drive_link</v>
      </c>
      <c r="Y9" s="41">
        <f ca="1">IFERROR(__xludf.DUMMYFUNCTION("""COMPUTED_VALUE"""),2)</f>
        <v>2</v>
      </c>
      <c r="Z9" s="41">
        <f ca="1">IFERROR(__xludf.DUMMYFUNCTION("""COMPUTED_VALUE"""),3)</f>
        <v>3</v>
      </c>
      <c r="AA9" s="41">
        <f ca="1">IFERROR(__xludf.DUMMYFUNCTION("""COMPUTED_VALUE"""),2)</f>
        <v>2</v>
      </c>
      <c r="AB9" s="42" t="str">
        <f ca="1">IFERROR(__xludf.DUMMYFUNCTION("""COMPUTED_VALUE"""),"https://drive.google.com/file/d/1C9LoVaGCK3ATybYcn6dy6wIfEyuVTzCb/view?usp=drive_link")</f>
        <v>https://drive.google.com/file/d/1C9LoVaGCK3ATybYcn6dy6wIfEyuVTzCb/view?usp=drive_link</v>
      </c>
      <c r="AC9" s="41">
        <f ca="1">IFERROR(__xludf.DUMMYFUNCTION("""COMPUTED_VALUE"""),3)</f>
        <v>3</v>
      </c>
      <c r="AD9" s="41">
        <f ca="1">IFERROR(__xludf.DUMMYFUNCTION("""COMPUTED_VALUE"""),4)</f>
        <v>4</v>
      </c>
      <c r="AE9" s="41">
        <f ca="1">IFERROR(__xludf.DUMMYFUNCTION("""COMPUTED_VALUE"""),3)</f>
        <v>3</v>
      </c>
      <c r="AF9" s="42" t="str">
        <f ca="1">IFERROR(__xludf.DUMMYFUNCTION("""COMPUTED_VALUE"""),"https://drive.google.com/file/d/1sFJ1Jatpn1wWnMbQQ8IhlwbDT63OKQ8y/view?usp=drive_link")</f>
        <v>https://drive.google.com/file/d/1sFJ1Jatpn1wWnMbQQ8IhlwbDT63OKQ8y/view?usp=drive_link</v>
      </c>
      <c r="AG9" s="41">
        <f ca="1">IFERROR(__xludf.DUMMYFUNCTION("""COMPUTED_VALUE"""),3)</f>
        <v>3</v>
      </c>
      <c r="AH9" s="41">
        <f ca="1">IFERROR(__xludf.DUMMYFUNCTION("""COMPUTED_VALUE"""),4)</f>
        <v>4</v>
      </c>
      <c r="AI9" s="41">
        <f ca="1">IFERROR(__xludf.DUMMYFUNCTION("""COMPUTED_VALUE"""),3)</f>
        <v>3</v>
      </c>
      <c r="AJ9" s="42" t="str">
        <f ca="1">IFERROR(__xludf.DUMMYFUNCTION("""COMPUTED_VALUE"""),"https://drive.google.com/file/d/1P6L0g1ToirKu7gQEdDFxU6nGAI_0aQM8/view?usp=drive_link")</f>
        <v>https://drive.google.com/file/d/1P6L0g1ToirKu7gQEdDFxU6nGAI_0aQM8/view?usp=drive_link</v>
      </c>
      <c r="AK9" s="41">
        <f ca="1">IFERROR(__xludf.DUMMYFUNCTION("""COMPUTED_VALUE"""),1)</f>
        <v>1</v>
      </c>
      <c r="AL9" s="41">
        <f ca="1">IFERROR(__xludf.DUMMYFUNCTION("""COMPUTED_VALUE"""),3)</f>
        <v>3</v>
      </c>
      <c r="AM9" s="41">
        <f ca="1">IFERROR(__xludf.DUMMYFUNCTION("""COMPUTED_VALUE"""),1)</f>
        <v>1</v>
      </c>
      <c r="AN9" s="42" t="str">
        <f ca="1">IFERROR(__xludf.DUMMYFUNCTION("""COMPUTED_VALUE"""),"https://drive.google.com/file/d/1wVeG1aB3HztjEm1kHhxNOhOIb67wMGde/view?usp=drive_link")</f>
        <v>https://drive.google.com/file/d/1wVeG1aB3HztjEm1kHhxNOhOIb67wMGde/view?usp=drive_link</v>
      </c>
      <c r="AO9" s="41">
        <f ca="1">IFERROR(__xludf.DUMMYFUNCTION("""COMPUTED_VALUE"""),3)</f>
        <v>3</v>
      </c>
      <c r="AP9" s="41">
        <f ca="1">IFERROR(__xludf.DUMMYFUNCTION("""COMPUTED_VALUE"""),4)</f>
        <v>4</v>
      </c>
      <c r="AQ9" s="41">
        <f ca="1">IFERROR(__xludf.DUMMYFUNCTION("""COMPUTED_VALUE"""),3)</f>
        <v>3</v>
      </c>
      <c r="AR9" s="42" t="str">
        <f ca="1">IFERROR(__xludf.DUMMYFUNCTION("""COMPUTED_VALUE"""),"https://drive.google.com/file/d/13yQ6rB69KIovqLIuUJKWrjSvaZVKEFl-/view?usp=drive_link")</f>
        <v>https://drive.google.com/file/d/13yQ6rB69KIovqLIuUJKWrjSvaZVKEFl-/view?usp=drive_link</v>
      </c>
      <c r="AS9" s="41">
        <f ca="1">IFERROR(__xludf.DUMMYFUNCTION("""COMPUTED_VALUE"""),2)</f>
        <v>2</v>
      </c>
      <c r="AT9" s="41">
        <f ca="1">IFERROR(__xludf.DUMMYFUNCTION("""COMPUTED_VALUE"""),4)</f>
        <v>4</v>
      </c>
      <c r="AU9" s="41">
        <f ca="1">IFERROR(__xludf.DUMMYFUNCTION("""COMPUTED_VALUE"""),2)</f>
        <v>2</v>
      </c>
      <c r="AV9" s="42" t="str">
        <f ca="1">IFERROR(__xludf.DUMMYFUNCTION("""COMPUTED_VALUE"""),"https://drive.google.com/file/d/1QJdp0kvT--1MtFsw2wgOGVDts33DNel0/view?usp=drive_link")</f>
        <v>https://drive.google.com/file/d/1QJdp0kvT--1MtFsw2wgOGVDts33DNel0/view?usp=drive_link</v>
      </c>
      <c r="AW9" s="41">
        <f ca="1">IFERROR(__xludf.DUMMYFUNCTION("""COMPUTED_VALUE"""),3)</f>
        <v>3</v>
      </c>
      <c r="AX9" s="41">
        <f ca="1">IFERROR(__xludf.DUMMYFUNCTION("""COMPUTED_VALUE"""),4)</f>
        <v>4</v>
      </c>
      <c r="AY9" s="41">
        <f ca="1">IFERROR(__xludf.DUMMYFUNCTION("""COMPUTED_VALUE"""),3)</f>
        <v>3</v>
      </c>
      <c r="AZ9" s="42" t="str">
        <f ca="1">IFERROR(__xludf.DUMMYFUNCTION("""COMPUTED_VALUE"""),"https://drive.google.com/file/d/1Xr2RYh-aHBmaFqtiSj4N3FloGVxawY-O/view?usp=drive_link")</f>
        <v>https://drive.google.com/file/d/1Xr2RYh-aHBmaFqtiSj4N3FloGVxawY-O/view?usp=drive_link</v>
      </c>
      <c r="BA9" s="41">
        <f ca="1">IFERROR(__xludf.DUMMYFUNCTION("""COMPUTED_VALUE"""),1)</f>
        <v>1</v>
      </c>
      <c r="BB9" s="41">
        <f ca="1">IFERROR(__xludf.DUMMYFUNCTION("""COMPUTED_VALUE"""),4)</f>
        <v>4</v>
      </c>
      <c r="BC9" s="41">
        <f ca="1">IFERROR(__xludf.DUMMYFUNCTION("""COMPUTED_VALUE"""),1)</f>
        <v>1</v>
      </c>
      <c r="BD9" s="42" t="str">
        <f ca="1">IFERROR(__xludf.DUMMYFUNCTION("""COMPUTED_VALUE"""),"https://drive.google.com/file/d/1H-hPH5bJpJPVz_2HHLnbjO9VeLq4VJwJ/view?usp=drive_link")</f>
        <v>https://drive.google.com/file/d/1H-hPH5bJpJPVz_2HHLnbjO9VeLq4VJwJ/view?usp=drive_link</v>
      </c>
      <c r="BE9" s="41">
        <f ca="1">IFERROR(__xludf.DUMMYFUNCTION("""COMPUTED_VALUE"""),2)</f>
        <v>2</v>
      </c>
      <c r="BF9" s="41">
        <f ca="1">IFERROR(__xludf.DUMMYFUNCTION("""COMPUTED_VALUE"""),4)</f>
        <v>4</v>
      </c>
      <c r="BG9" s="41">
        <f ca="1">IFERROR(__xludf.DUMMYFUNCTION("""COMPUTED_VALUE"""),2)</f>
        <v>2</v>
      </c>
      <c r="BH9" s="42" t="str">
        <f ca="1">IFERROR(__xludf.DUMMYFUNCTION("""COMPUTED_VALUE"""),"https://drive.google.com/file/d/1gJtEO-LONWX7soG4YcNVyr8DldNDLUk_/view?usp=drive_link")</f>
        <v>https://drive.google.com/file/d/1gJtEO-LONWX7soG4YcNVyr8DldNDLUk_/view?usp=drive_link</v>
      </c>
      <c r="BI9" s="41">
        <f ca="1">IFERROR(__xludf.DUMMYFUNCTION("""COMPUTED_VALUE"""),2)</f>
        <v>2</v>
      </c>
      <c r="BJ9" s="41">
        <f ca="1">IFERROR(__xludf.DUMMYFUNCTION("""COMPUTED_VALUE"""),3)</f>
        <v>3</v>
      </c>
      <c r="BK9" s="41">
        <f ca="1">IFERROR(__xludf.DUMMYFUNCTION("""COMPUTED_VALUE"""),2)</f>
        <v>2</v>
      </c>
      <c r="BL9" s="42" t="str">
        <f ca="1">IFERROR(__xludf.DUMMYFUNCTION("""COMPUTED_VALUE"""),"https://drive.google.com/file/d/1vm2RWnIVgPAa1aB4JO6gNHwouKTXI7zm/view?usp=drive_link")</f>
        <v>https://drive.google.com/file/d/1vm2RWnIVgPAa1aB4JO6gNHwouKTXI7zm/view?usp=drive_link</v>
      </c>
      <c r="BM9" s="41">
        <f ca="1">IFERROR(__xludf.DUMMYFUNCTION("""COMPUTED_VALUE"""),2)</f>
        <v>2</v>
      </c>
      <c r="BN9" s="41">
        <f ca="1">IFERROR(__xludf.DUMMYFUNCTION("""COMPUTED_VALUE"""),3)</f>
        <v>3</v>
      </c>
      <c r="BO9" s="41">
        <f ca="1">IFERROR(__xludf.DUMMYFUNCTION("""COMPUTED_VALUE"""),2)</f>
        <v>2</v>
      </c>
      <c r="BP9" s="42" t="str">
        <f ca="1">IFERROR(__xludf.DUMMYFUNCTION("""COMPUTED_VALUE"""),"https://drive.google.com/file/d/1GEO0Wc2ez_rf3eeu3clwO-AFs5zB6QHo/view?usp=drive_link")</f>
        <v>https://drive.google.com/file/d/1GEO0Wc2ez_rf3eeu3clwO-AFs5zB6QHo/view?usp=drive_link</v>
      </c>
      <c r="BQ9" s="41">
        <f ca="1">IFERROR(__xludf.DUMMYFUNCTION("""COMPUTED_VALUE"""),2)</f>
        <v>2</v>
      </c>
      <c r="BR9" s="41">
        <f ca="1">IFERROR(__xludf.DUMMYFUNCTION("""COMPUTED_VALUE"""),4)</f>
        <v>4</v>
      </c>
      <c r="BS9" s="41">
        <f ca="1">IFERROR(__xludf.DUMMYFUNCTION("""COMPUTED_VALUE"""),2)</f>
        <v>2</v>
      </c>
      <c r="BT9" s="42" t="str">
        <f ca="1">IFERROR(__xludf.DUMMYFUNCTION("""COMPUTED_VALUE"""),"https://drive.google.com/file/d/1LGwD2-BAxu7q0OGtnifyCsC4iICGUfBz/view?usp=drive_link")</f>
        <v>https://drive.google.com/file/d/1LGwD2-BAxu7q0OGtnifyCsC4iICGUfBz/view?usp=drive_link</v>
      </c>
      <c r="BU9" s="41">
        <f ca="1">IFERROR(__xludf.DUMMYFUNCTION("""COMPUTED_VALUE"""),2)</f>
        <v>2</v>
      </c>
      <c r="BV9" s="41">
        <f ca="1">IFERROR(__xludf.DUMMYFUNCTION("""COMPUTED_VALUE"""),4)</f>
        <v>4</v>
      </c>
      <c r="BW9" s="41">
        <f ca="1">IFERROR(__xludf.DUMMYFUNCTION("""COMPUTED_VALUE"""),2)</f>
        <v>2</v>
      </c>
      <c r="BX9" s="42" t="str">
        <f ca="1">IFERROR(__xludf.DUMMYFUNCTION("""COMPUTED_VALUE"""),"https://drive.google.com/file/d/1_Nrv0BmEpxYbCaO4XhDghAnCo0QGgeMG/view?usp=drive_link")</f>
        <v>https://drive.google.com/file/d/1_Nrv0BmEpxYbCaO4XhDghAnCo0QGgeMG/view?usp=drive_link</v>
      </c>
      <c r="BY9" s="41">
        <f ca="1">IFERROR(__xludf.DUMMYFUNCTION("""COMPUTED_VALUE"""),2)</f>
        <v>2</v>
      </c>
      <c r="BZ9" s="41">
        <f ca="1">IFERROR(__xludf.DUMMYFUNCTION("""COMPUTED_VALUE"""),4)</f>
        <v>4</v>
      </c>
      <c r="CA9" s="41">
        <f ca="1">IFERROR(__xludf.DUMMYFUNCTION("""COMPUTED_VALUE"""),2)</f>
        <v>2</v>
      </c>
      <c r="CB9" s="42" t="str">
        <f ca="1">IFERROR(__xludf.DUMMYFUNCTION("""COMPUTED_VALUE"""),"https://drive.google.com/file/d/1qLG81PflViBAkMFN_chL3K1J0PQB7KuH/view?usp=drive_link")</f>
        <v>https://drive.google.com/file/d/1qLG81PflViBAkMFN_chL3K1J0PQB7KuH/view?usp=drive_link</v>
      </c>
      <c r="CC9" s="41" t="str">
        <f ca="1">IFERROR(__xludf.DUMMYFUNCTION("""COMPUTED_VALUE"""),"beberapa dokumen bukti dukung belum terpenuhi. kondisi di lapangan juga masih memerlukan pembenahan")</f>
        <v>beberapa dokumen bukti dukung belum terpenuhi. kondisi di lapangan juga masih memerlukan pembenahan</v>
      </c>
      <c r="CD9" s="66">
        <f ca="1"/>
        <v>2.2352941176470589</v>
      </c>
      <c r="CE9" s="67">
        <f ca="1"/>
        <v>3.7647058823529411</v>
      </c>
      <c r="CF9" s="67">
        <f ca="1"/>
        <v>2.2352941176470589</v>
      </c>
      <c r="CG9" s="67">
        <f ca="1"/>
        <v>0</v>
      </c>
      <c r="CH9" s="68">
        <f ca="1"/>
        <v>2.5</v>
      </c>
      <c r="CI9" s="68">
        <f ca="1"/>
        <v>3.75</v>
      </c>
      <c r="CJ9" s="68">
        <f ca="1"/>
        <v>2.5</v>
      </c>
      <c r="CK9" s="68">
        <f ca="1"/>
        <v>0</v>
      </c>
      <c r="CL9" s="70">
        <f ca="1"/>
        <v>2.3333333333333335</v>
      </c>
      <c r="CM9" s="70">
        <f ca="1"/>
        <v>3.6666666666666665</v>
      </c>
      <c r="CN9" s="70">
        <f ca="1"/>
        <v>2.3333333333333335</v>
      </c>
      <c r="CO9" s="70">
        <f ca="1"/>
        <v>0</v>
      </c>
      <c r="CP9" s="72">
        <f ca="1"/>
        <v>2.5</v>
      </c>
      <c r="CQ9" s="72">
        <f ca="1"/>
        <v>4</v>
      </c>
      <c r="CR9" s="72">
        <f ca="1"/>
        <v>2.5</v>
      </c>
      <c r="CS9" s="72">
        <f ca="1"/>
        <v>0</v>
      </c>
      <c r="CT9" s="74">
        <f ca="1"/>
        <v>3</v>
      </c>
      <c r="CU9" s="74">
        <f ca="1"/>
        <v>4</v>
      </c>
      <c r="CV9" s="74">
        <f ca="1"/>
        <v>3</v>
      </c>
      <c r="CW9" s="74">
        <f ca="1"/>
        <v>0</v>
      </c>
      <c r="CX9" s="76">
        <f ca="1"/>
        <v>1.5</v>
      </c>
      <c r="CY9" s="76">
        <f ca="1"/>
        <v>4</v>
      </c>
      <c r="CZ9" s="76">
        <f ca="1"/>
        <v>1.5</v>
      </c>
      <c r="DA9" s="76">
        <f ca="1"/>
        <v>0</v>
      </c>
      <c r="DB9" s="78">
        <f ca="1"/>
        <v>2</v>
      </c>
      <c r="DC9" s="78">
        <f ca="1"/>
        <v>3.6</v>
      </c>
      <c r="DD9" s="78">
        <f ca="1"/>
        <v>2</v>
      </c>
      <c r="DE9" s="78">
        <f ca="1"/>
        <v>0</v>
      </c>
    </row>
    <row r="10" spans="1:129" x14ac:dyDescent="0.3">
      <c r="A10" s="65">
        <f ca="1">IFERROR(__xludf.DUMMYFUNCTION("""COMPUTED_VALUE"""),46109.7208402662)</f>
        <v>46109.7208402662</v>
      </c>
      <c r="B10" s="41" t="str">
        <f ca="1">IFERROR(__xludf.DUMMYFUNCTION("""COMPUTED_VALUE"""),"srisaragih023@dinas.belajar.id")</f>
        <v>srisaragih023@dinas.belajar.id</v>
      </c>
      <c r="C10" s="41">
        <f ca="1">IFERROR(__xludf.DUMMYFUNCTION("""COMPUTED_VALUE"""),70041470)</f>
        <v>70041470</v>
      </c>
      <c r="D10" s="41" t="str">
        <f ca="1">IFERROR(__xludf.DUMMYFUNCTION("""COMPUTED_VALUE"""),"Lubuk Pakam")</f>
        <v>Lubuk Pakam</v>
      </c>
      <c r="E10" s="41" t="str">
        <f ca="1">IFERROR(__xludf.DUMMYFUNCTION("""COMPUTED_VALUE"""),"PAUD")</f>
        <v>PAUD</v>
      </c>
      <c r="F10" s="41" t="str">
        <f ca="1">IFERROR(__xludf.DUMMYFUNCTION("""COMPUTED_VALUE"""),"TK Negeri Cerdas")</f>
        <v>TK Negeri Cerdas</v>
      </c>
      <c r="G10" s="41" t="str">
        <f ca="1">IFERROR(__xludf.DUMMYFUNCTION("""COMPUTED_VALUE"""),"Sri Nilawati Saragih")</f>
        <v>Sri Nilawati Saragih</v>
      </c>
      <c r="H10" s="41" t="str">
        <f ca="1">IFERROR(__xludf.DUMMYFUNCTION("""COMPUTED_VALUE"""),"081361406048")</f>
        <v>081361406048</v>
      </c>
      <c r="I10" s="41" t="str">
        <f ca="1">IFERROR(__xludf.DUMMYFUNCTION("""COMPUTED_VALUE"""),"Ade Suri Satriani")</f>
        <v>Ade Suri Satriani</v>
      </c>
      <c r="J10" s="41" t="str">
        <f ca="1">IFERROR(__xludf.DUMMYFUNCTION("""COMPUTED_VALUE"""),"085262451739")</f>
        <v>085262451739</v>
      </c>
      <c r="K10" s="41" t="str">
        <f ca="1">IFERROR(__xludf.DUMMYFUNCTION("""COMPUTED_VALUE"""),"Maret")</f>
        <v>Maret</v>
      </c>
      <c r="L10" s="41" t="str">
        <f ca="1">IFERROR(__xludf.DUMMYFUNCTION("""COMPUTED_VALUE"""),"I")</f>
        <v>I</v>
      </c>
      <c r="M10" s="41">
        <f ca="1">IFERROR(__xludf.DUMMYFUNCTION("""COMPUTED_VALUE"""),1)</f>
        <v>1</v>
      </c>
      <c r="N10" s="41">
        <f ca="1">IFERROR(__xludf.DUMMYFUNCTION("""COMPUTED_VALUE"""),3)</f>
        <v>3</v>
      </c>
      <c r="O10" s="41">
        <f ca="1">IFERROR(__xludf.DUMMYFUNCTION("""COMPUTED_VALUE"""),2)</f>
        <v>2</v>
      </c>
      <c r="P10" s="42" t="str">
        <f ca="1">IFERROR(__xludf.DUMMYFUNCTION("""COMPUTED_VALUE"""),"https://drive.google.com/file/d/1XEHc5njBqmKEiNCKoFMDvhwEJ_ZK_Wfo/view?usp=drive_link")</f>
        <v>https://drive.google.com/file/d/1XEHc5njBqmKEiNCKoFMDvhwEJ_ZK_Wfo/view?usp=drive_link</v>
      </c>
      <c r="Q10" s="41">
        <f ca="1">IFERROR(__xludf.DUMMYFUNCTION("""COMPUTED_VALUE"""),2)</f>
        <v>2</v>
      </c>
      <c r="R10" s="41">
        <f ca="1">IFERROR(__xludf.DUMMYFUNCTION("""COMPUTED_VALUE"""),3)</f>
        <v>3</v>
      </c>
      <c r="S10" s="41">
        <f ca="1">IFERROR(__xludf.DUMMYFUNCTION("""COMPUTED_VALUE"""),2)</f>
        <v>2</v>
      </c>
      <c r="T10" s="42" t="str">
        <f ca="1">IFERROR(__xludf.DUMMYFUNCTION("""COMPUTED_VALUE"""),"https://drive.google.com/file/d/1mzDhP1oHXD4l6pxOJHIcgrSMf4a1_6N5/view?usp=drive_link")</f>
        <v>https://drive.google.com/file/d/1mzDhP1oHXD4l6pxOJHIcgrSMf4a1_6N5/view?usp=drive_link</v>
      </c>
      <c r="U10" s="41">
        <f ca="1">IFERROR(__xludf.DUMMYFUNCTION("""COMPUTED_VALUE"""),1)</f>
        <v>1</v>
      </c>
      <c r="V10" s="41">
        <f ca="1">IFERROR(__xludf.DUMMYFUNCTION("""COMPUTED_VALUE"""),3)</f>
        <v>3</v>
      </c>
      <c r="W10" s="41">
        <f ca="1">IFERROR(__xludf.DUMMYFUNCTION("""COMPUTED_VALUE"""),2)</f>
        <v>2</v>
      </c>
      <c r="X10" s="42" t="str">
        <f ca="1">IFERROR(__xludf.DUMMYFUNCTION("""COMPUTED_VALUE"""),"https://drive.google.com/file/d/1BvnO798v5qj0qD1mXFMXEbrZqBj-4V7n/view?usp=drive_link")</f>
        <v>https://drive.google.com/file/d/1BvnO798v5qj0qD1mXFMXEbrZqBj-4V7n/view?usp=drive_link</v>
      </c>
      <c r="Y10" s="41">
        <f ca="1">IFERROR(__xludf.DUMMYFUNCTION("""COMPUTED_VALUE"""),1)</f>
        <v>1</v>
      </c>
      <c r="Z10" s="41">
        <f ca="1">IFERROR(__xludf.DUMMYFUNCTION("""COMPUTED_VALUE"""),2)</f>
        <v>2</v>
      </c>
      <c r="AA10" s="41">
        <f ca="1">IFERROR(__xludf.DUMMYFUNCTION("""COMPUTED_VALUE"""),1)</f>
        <v>1</v>
      </c>
      <c r="AB10" s="42" t="str">
        <f ca="1">IFERROR(__xludf.DUMMYFUNCTION("""COMPUTED_VALUE"""),"https://drive.google.com/file/d/1agYE2RhRCS2m3VyxpptayoLsaO7Ld9cm/view?usp=drive_link")</f>
        <v>https://drive.google.com/file/d/1agYE2RhRCS2m3VyxpptayoLsaO7Ld9cm/view?usp=drive_link</v>
      </c>
      <c r="AC10" s="41">
        <f ca="1">IFERROR(__xludf.DUMMYFUNCTION("""COMPUTED_VALUE"""),2)</f>
        <v>2</v>
      </c>
      <c r="AD10" s="41">
        <f ca="1">IFERROR(__xludf.DUMMYFUNCTION("""COMPUTED_VALUE"""),3)</f>
        <v>3</v>
      </c>
      <c r="AE10" s="41">
        <f ca="1">IFERROR(__xludf.DUMMYFUNCTION("""COMPUTED_VALUE"""),2)</f>
        <v>2</v>
      </c>
      <c r="AF10" s="42" t="str">
        <f ca="1">IFERROR(__xludf.DUMMYFUNCTION("""COMPUTED_VALUE"""),"https://drive.google.com/file/d/1XEHc5njBqmKEiNCKoFMDvhwEJ_ZK_Wfo/view?usp=drive_link")</f>
        <v>https://drive.google.com/file/d/1XEHc5njBqmKEiNCKoFMDvhwEJ_ZK_Wfo/view?usp=drive_link</v>
      </c>
      <c r="AG10" s="41">
        <f ca="1">IFERROR(__xludf.DUMMYFUNCTION("""COMPUTED_VALUE"""),2)</f>
        <v>2</v>
      </c>
      <c r="AH10" s="41">
        <f ca="1">IFERROR(__xludf.DUMMYFUNCTION("""COMPUTED_VALUE"""),3)</f>
        <v>3</v>
      </c>
      <c r="AI10" s="41">
        <f ca="1">IFERROR(__xludf.DUMMYFUNCTION("""COMPUTED_VALUE"""),2)</f>
        <v>2</v>
      </c>
      <c r="AJ10" s="42" t="str">
        <f ca="1">IFERROR(__xludf.DUMMYFUNCTION("""COMPUTED_VALUE"""),"https://drive.google.com/file/d/1-w53kHK62VT3R4cT-WxSSBfTUQYGvTnF/view?usp=drive_link")</f>
        <v>https://drive.google.com/file/d/1-w53kHK62VT3R4cT-WxSSBfTUQYGvTnF/view?usp=drive_link</v>
      </c>
      <c r="AK10" s="41">
        <f ca="1">IFERROR(__xludf.DUMMYFUNCTION("""COMPUTED_VALUE"""),2)</f>
        <v>2</v>
      </c>
      <c r="AL10" s="41">
        <f ca="1">IFERROR(__xludf.DUMMYFUNCTION("""COMPUTED_VALUE"""),3)</f>
        <v>3</v>
      </c>
      <c r="AM10" s="41">
        <f ca="1">IFERROR(__xludf.DUMMYFUNCTION("""COMPUTED_VALUE"""),3)</f>
        <v>3</v>
      </c>
      <c r="AN10" s="41">
        <f ca="1">IFERROR(__xludf.DUMMYFUNCTION("""COMPUTED_VALUE"""),0)</f>
        <v>0</v>
      </c>
      <c r="AO10" s="41">
        <f ca="1">IFERROR(__xludf.DUMMYFUNCTION("""COMPUTED_VALUE"""),2)</f>
        <v>2</v>
      </c>
      <c r="AP10" s="41">
        <f ca="1">IFERROR(__xludf.DUMMYFUNCTION("""COMPUTED_VALUE"""),3)</f>
        <v>3</v>
      </c>
      <c r="AQ10" s="41">
        <f ca="1">IFERROR(__xludf.DUMMYFUNCTION("""COMPUTED_VALUE"""),2)</f>
        <v>2</v>
      </c>
      <c r="AR10" s="42" t="str">
        <f ca="1">IFERROR(__xludf.DUMMYFUNCTION("""COMPUTED_VALUE"""),"https://drive.google.com/file/d/11x27tOCsjUBsj4KaoEdpmLHDgaqvNZv-/view?usp=drive_link")</f>
        <v>https://drive.google.com/file/d/11x27tOCsjUBsj4KaoEdpmLHDgaqvNZv-/view?usp=drive_link</v>
      </c>
      <c r="AS10" s="41">
        <f ca="1">IFERROR(__xludf.DUMMYFUNCTION("""COMPUTED_VALUE"""),2)</f>
        <v>2</v>
      </c>
      <c r="AT10" s="41">
        <f ca="1">IFERROR(__xludf.DUMMYFUNCTION("""COMPUTED_VALUE"""),3)</f>
        <v>3</v>
      </c>
      <c r="AU10" s="41">
        <f ca="1">IFERROR(__xludf.DUMMYFUNCTION("""COMPUTED_VALUE"""),3)</f>
        <v>3</v>
      </c>
      <c r="AV10" s="42" t="str">
        <f ca="1">IFERROR(__xludf.DUMMYFUNCTION("""COMPUTED_VALUE"""),"https://drive.google.com/file/d/1RLa90NZEW_QpuOgaRC14JtjXrx_ULRcC/view?usp=drive_link")</f>
        <v>https://drive.google.com/file/d/1RLa90NZEW_QpuOgaRC14JtjXrx_ULRcC/view?usp=drive_link</v>
      </c>
      <c r="AW10" s="41">
        <f ca="1">IFERROR(__xludf.DUMMYFUNCTION("""COMPUTED_VALUE"""),2)</f>
        <v>2</v>
      </c>
      <c r="AX10" s="41">
        <f ca="1">IFERROR(__xludf.DUMMYFUNCTION("""COMPUTED_VALUE"""),3)</f>
        <v>3</v>
      </c>
      <c r="AY10" s="41">
        <f ca="1">IFERROR(__xludf.DUMMYFUNCTION("""COMPUTED_VALUE"""),3)</f>
        <v>3</v>
      </c>
      <c r="AZ10" s="42" t="str">
        <f ca="1">IFERROR(__xludf.DUMMYFUNCTION("""COMPUTED_VALUE"""),"https://drive.google.com/drive/folders/1Kf1mQ5Btn9zG0KVM189n9Yw8NzqQA-ky?usp=drive_link")</f>
        <v>https://drive.google.com/drive/folders/1Kf1mQ5Btn9zG0KVM189n9Yw8NzqQA-ky?usp=drive_link</v>
      </c>
      <c r="BA10" s="41">
        <f ca="1">IFERROR(__xludf.DUMMYFUNCTION("""COMPUTED_VALUE"""),1)</f>
        <v>1</v>
      </c>
      <c r="BB10" s="41">
        <f ca="1">IFERROR(__xludf.DUMMYFUNCTION("""COMPUTED_VALUE"""),2)</f>
        <v>2</v>
      </c>
      <c r="BC10" s="41">
        <f ca="1">IFERROR(__xludf.DUMMYFUNCTION("""COMPUTED_VALUE"""),1)</f>
        <v>1</v>
      </c>
      <c r="BD10" s="41">
        <f ca="1">IFERROR(__xludf.DUMMYFUNCTION("""COMPUTED_VALUE"""),0)</f>
        <v>0</v>
      </c>
      <c r="BE10" s="41">
        <f ca="1">IFERROR(__xludf.DUMMYFUNCTION("""COMPUTED_VALUE"""),2)</f>
        <v>2</v>
      </c>
      <c r="BF10" s="41">
        <f ca="1">IFERROR(__xludf.DUMMYFUNCTION("""COMPUTED_VALUE"""),3)</f>
        <v>3</v>
      </c>
      <c r="BG10" s="41">
        <f ca="1">IFERROR(__xludf.DUMMYFUNCTION("""COMPUTED_VALUE"""),2)</f>
        <v>2</v>
      </c>
      <c r="BH10" s="42" t="str">
        <f ca="1">IFERROR(__xludf.DUMMYFUNCTION("""COMPUTED_VALUE"""),"https://drive.google.com/file/d/1Wuqo-AE8txhttps://drive.google.com/file/d/1uK9JqZwVFbRSLu-VubL5Hmb3lGeJWv6l/view?usp=drive_linkLBP4s_UO1uj5HonZOUPKnA/view?usp=drive_link")</f>
        <v>https://drive.google.com/file/d/1Wuqo-AE8txhttps://drive.google.com/file/d/1uK9JqZwVFbRSLu-VubL5Hmb3lGeJWv6l/view?usp=drive_linkLBP4s_UO1uj5HonZOUPKnA/view?usp=drive_link</v>
      </c>
      <c r="BI10" s="41">
        <f ca="1">IFERROR(__xludf.DUMMYFUNCTION("""COMPUTED_VALUE"""),1)</f>
        <v>1</v>
      </c>
      <c r="BJ10" s="41">
        <f ca="1">IFERROR(__xludf.DUMMYFUNCTION("""COMPUTED_VALUE"""),2)</f>
        <v>2</v>
      </c>
      <c r="BK10" s="41">
        <f ca="1">IFERROR(__xludf.DUMMYFUNCTION("""COMPUTED_VALUE"""),1)</f>
        <v>1</v>
      </c>
      <c r="BL10" s="41">
        <f ca="1">IFERROR(__xludf.DUMMYFUNCTION("""COMPUTED_VALUE"""),0)</f>
        <v>0</v>
      </c>
      <c r="BM10" s="41">
        <f ca="1">IFERROR(__xludf.DUMMYFUNCTION("""COMPUTED_VALUE"""),2)</f>
        <v>2</v>
      </c>
      <c r="BN10" s="41">
        <f ca="1">IFERROR(__xludf.DUMMYFUNCTION("""COMPUTED_VALUE"""),3)</f>
        <v>3</v>
      </c>
      <c r="BO10" s="41">
        <f ca="1">IFERROR(__xludf.DUMMYFUNCTION("""COMPUTED_VALUE"""),2)</f>
        <v>2</v>
      </c>
      <c r="BP10" s="42" t="str">
        <f ca="1">IFERROR(__xludf.DUMMYFUNCTION("""COMPUTED_VALUE"""),"https://drive.google.com/file/d/1fmRgwUaHC1mkrgm4agkEp8Qo4xb4-PqN/view?usp=drive_link")</f>
        <v>https://drive.google.com/file/d/1fmRgwUaHC1mkrgm4agkEp8Qo4xb4-PqN/view?usp=drive_link</v>
      </c>
      <c r="BQ10" s="41">
        <f ca="1">IFERROR(__xludf.DUMMYFUNCTION("""COMPUTED_VALUE"""),1)</f>
        <v>1</v>
      </c>
      <c r="BR10" s="41">
        <f ca="1">IFERROR(__xludf.DUMMYFUNCTION("""COMPUTED_VALUE"""),2)</f>
        <v>2</v>
      </c>
      <c r="BS10" s="41">
        <f ca="1">IFERROR(__xludf.DUMMYFUNCTION("""COMPUTED_VALUE"""),1)</f>
        <v>1</v>
      </c>
      <c r="BT10" s="41">
        <f ca="1">IFERROR(__xludf.DUMMYFUNCTION("""COMPUTED_VALUE"""),0)</f>
        <v>0</v>
      </c>
      <c r="BU10" s="41">
        <f ca="1">IFERROR(__xludf.DUMMYFUNCTION("""COMPUTED_VALUE"""),1)</f>
        <v>1</v>
      </c>
      <c r="BV10" s="41">
        <f ca="1">IFERROR(__xludf.DUMMYFUNCTION("""COMPUTED_VALUE"""),2)</f>
        <v>2</v>
      </c>
      <c r="BW10" s="41">
        <f ca="1">IFERROR(__xludf.DUMMYFUNCTION("""COMPUTED_VALUE"""),1)</f>
        <v>1</v>
      </c>
      <c r="BX10" s="41">
        <f ca="1">IFERROR(__xludf.DUMMYFUNCTION("""COMPUTED_VALUE"""),0)</f>
        <v>0</v>
      </c>
      <c r="BY10" s="41">
        <f ca="1">IFERROR(__xludf.DUMMYFUNCTION("""COMPUTED_VALUE"""),2)</f>
        <v>2</v>
      </c>
      <c r="BZ10" s="41">
        <f ca="1">IFERROR(__xludf.DUMMYFUNCTION("""COMPUTED_VALUE"""),3)</f>
        <v>3</v>
      </c>
      <c r="CA10" s="41">
        <f ca="1">IFERROR(__xludf.DUMMYFUNCTION("""COMPUTED_VALUE"""),3)</f>
        <v>3</v>
      </c>
      <c r="CB10" s="41" t="str">
        <f ca="1">IFERROR(__xludf.DUMMYFUNCTION("""COMPUTED_VALUE"""),"ada")</f>
        <v>ada</v>
      </c>
      <c r="CC10" s="41" t="str">
        <f ca="1">IFERROR(__xludf.DUMMYFUNCTION("""COMPUTED_VALUE"""),"masih butuh pengembangan dan peningkatan")</f>
        <v>masih butuh pengembangan dan peningkatan</v>
      </c>
      <c r="CD10" s="66">
        <f ca="1"/>
        <v>1.588235294117647</v>
      </c>
      <c r="CE10" s="67">
        <f ca="1"/>
        <v>2.7058823529411766</v>
      </c>
      <c r="CF10" s="67">
        <f ca="1"/>
        <v>1.9411764705882353</v>
      </c>
      <c r="CG10" s="67">
        <f ca="1"/>
        <v>0.35294117647058831</v>
      </c>
      <c r="CH10" s="68">
        <f ca="1"/>
        <v>1.25</v>
      </c>
      <c r="CI10" s="68">
        <f ca="1"/>
        <v>2.75</v>
      </c>
      <c r="CJ10" s="68">
        <f ca="1"/>
        <v>1.75</v>
      </c>
      <c r="CK10" s="68">
        <f ca="1"/>
        <v>0.5</v>
      </c>
      <c r="CL10" s="70">
        <f ca="1"/>
        <v>2</v>
      </c>
      <c r="CM10" s="70">
        <f ca="1"/>
        <v>3</v>
      </c>
      <c r="CN10" s="70">
        <f ca="1"/>
        <v>2.3333333333333335</v>
      </c>
      <c r="CO10" s="70">
        <f ca="1"/>
        <v>0.33333333333333348</v>
      </c>
      <c r="CP10" s="72">
        <f ca="1"/>
        <v>2</v>
      </c>
      <c r="CQ10" s="72">
        <f ca="1"/>
        <v>3</v>
      </c>
      <c r="CR10" s="72">
        <f ca="1"/>
        <v>2.5</v>
      </c>
      <c r="CS10" s="72">
        <f ca="1"/>
        <v>0.5</v>
      </c>
      <c r="CT10" s="74">
        <f ca="1"/>
        <v>2</v>
      </c>
      <c r="CU10" s="74">
        <f ca="1"/>
        <v>3</v>
      </c>
      <c r="CV10" s="74">
        <f ca="1"/>
        <v>3</v>
      </c>
      <c r="CW10" s="74">
        <f ca="1"/>
        <v>1</v>
      </c>
      <c r="CX10" s="76">
        <f ca="1"/>
        <v>1.5</v>
      </c>
      <c r="CY10" s="76">
        <f ca="1"/>
        <v>2.5</v>
      </c>
      <c r="CZ10" s="76">
        <f ca="1"/>
        <v>1.5</v>
      </c>
      <c r="DA10" s="76">
        <f ca="1"/>
        <v>0</v>
      </c>
      <c r="DB10" s="78">
        <f ca="1"/>
        <v>1.4</v>
      </c>
      <c r="DC10" s="78">
        <f ca="1"/>
        <v>2.4</v>
      </c>
      <c r="DD10" s="78">
        <f ca="1"/>
        <v>1.6</v>
      </c>
      <c r="DE10" s="78">
        <f ca="1"/>
        <v>0.20000000000000018</v>
      </c>
    </row>
  </sheetData>
  <hyperlinks>
    <hyperlink ref="P2" r:id="rId1" display="https://drive.google.com/drive/folders/10RlAFfwYnenEsFzFpJGRMyg5jQrhFRdQ?usp=sharing" xr:uid="{9697AE26-4C52-4C0B-AAB6-0944D0C89B0C}"/>
    <hyperlink ref="T2" r:id="rId2" display="https://drive.google.com/drive/folders/1bqm-meRzsVTTjG_hhvge7ytXi92kCBd0?usp=sharing" xr:uid="{D64D6E85-4C4E-4C26-9A6F-012A1E8B2C83}"/>
    <hyperlink ref="X2" r:id="rId3" display="https://drive.google.com/drive/folders/1hV6d3O1JyP2AyFF7JU3xUbwOrAq4HVog?usp=sharing" xr:uid="{0BBDB203-1BD9-4C91-A1EA-FC8C8827B87D}"/>
    <hyperlink ref="AF2" r:id="rId4" display="https://drive.google.com/drive/folders/18VzRqId9mCGxBGTI2Dy4cpmFmpHh0o1b?usp=sharing" xr:uid="{5065DB2C-B567-4462-83BA-1AF0EDFB06C1}"/>
    <hyperlink ref="AJ2" r:id="rId5" display="https://drive.google.com/drive/folders/1AsSL1wMjbB3uehhWwzYYzf-SxjW9qTXF?usp=sharing" xr:uid="{D355C63E-6EF9-4F82-A2B3-E9FB77705B81}"/>
    <hyperlink ref="AN2" r:id="rId6" display="https://drive.google.com/drive/folders/17xgTxLHXg6i4CPSfgux8u3vbUbI7zAU7?usp=sharing" xr:uid="{4E84C503-4782-4F04-8451-86C810B3DCE7}"/>
    <hyperlink ref="AR2" r:id="rId7" display="https://drive.google.com/drive/folders/1hFJil7NFuL2WnIdNabQJIY68YLn7ByXF?usp=sharing" xr:uid="{B9AC387D-5C04-4719-971A-D990473FA0DE}"/>
    <hyperlink ref="AV2" r:id="rId8" display="https://drive.google.com/drive/folders/18f5h6Q8sOQDR7nabuhG-9jqFEQqeZAUH?usp=sharing" xr:uid="{416E6A8A-E197-41A8-8251-AB107590628C}"/>
    <hyperlink ref="AZ2" r:id="rId9" display="https://drive.google.com/drive/folders/11FXRdCx5HnX-H9Wt8460tyeW-YyRWn9C?usp=sharing" xr:uid="{06628597-0C36-40A6-B1B4-EBF41D698325}"/>
    <hyperlink ref="BD2" r:id="rId10" display="https://drive.google.com/drive/folders/1PTABGdIinGF_tVAHLuwRUO9g4sl039DV?usp=sharing" xr:uid="{4149F64E-AB84-4B0B-904D-CE8E971BBCB8}"/>
    <hyperlink ref="BH2" r:id="rId11" display="https://drive.google.com/drive/folders/1okn5PQejitmt7zDUzRongnwo4d8KnfYX?usp=sharing" xr:uid="{7AEC9498-0406-4075-A1BA-5A41CDE21BFF}"/>
    <hyperlink ref="BL2" r:id="rId12" display="https://drive.google.com/drive/folders/11isQM2FXIYjqiCFc7X3fURANJvmo0ouJ?usp=sharing" xr:uid="{1E4CEF95-AF28-4558-B48E-49228A3EBDE4}"/>
    <hyperlink ref="BP2" r:id="rId13" display="https://drive.google.com/drive/folders/1okn5PQejitmt7zDUzRongnwo4d8KnfYX?usp=sharing" xr:uid="{81CDE169-B8FA-4342-AE5C-B3C48B11BC7D}"/>
    <hyperlink ref="BT2" r:id="rId14" display="https://drive.google.com/drive/folders/1dGwdIVzJC4F96R5JsP2BKGQLfAvDz1eh?usp=sharing" xr:uid="{9846C94C-87A5-4E3E-A7D2-C9CE61559697}"/>
    <hyperlink ref="BX2" r:id="rId15" display="https://drive.google.com/drive/folders/1Hhr-OPEaQtLQyuWd3KhvPpVrRRzegum9?usp=sharing" xr:uid="{07EFF9EF-9D4B-4A13-AA48-5B5C5F099E7C}"/>
    <hyperlink ref="CB2" r:id="rId16" display="https://drive.google.com/drive/folders/1Hhr-OPEaQtLQyuWd3KhvPpVrRRzegum9?usp=sharing" xr:uid="{FE833537-F2FE-4152-B596-6E67174B0F02}"/>
    <hyperlink ref="P3" r:id="rId17" display="https://drive.google.com/drive/folders/1d_75eWS4w30Y0m4ooY9mrhwDkUq2qZTj?usp=sharing" xr:uid="{6CFAF274-188F-4FD2-8F12-9B7DC8D3FA62}"/>
    <hyperlink ref="T3" r:id="rId18" display="https://drive.google.com/drive/folders/1NnKvlPeiIya5BG812hArGo6Nuk-07h2T?usp=sharing" xr:uid="{E9E896A3-B25B-4AB6-96AC-65ADA97C3247}"/>
    <hyperlink ref="X3" r:id="rId19" display="https://drive.google.com/drive/folders/1LRH0yNpbMEsCBfxzp-MVHYaW8DgCczlo?usp=sharing" xr:uid="{18A92672-9613-44DC-9F3F-6327F1978D6E}"/>
    <hyperlink ref="AF3" r:id="rId20" display="https://drive.google.com/drive/folders/18VzRqId9mCGxBGTI2Dy4cpmFmpHh0o1b?usp=sharing" xr:uid="{E74BC4F7-7692-4970-8527-1C03CB0F5182}"/>
    <hyperlink ref="AJ3" r:id="rId21" display="https://drive.google.com/drive/folders/1yhMTaTQriJdUFU7yPDjrwKLvI81Ss6AE?usp=sharing" xr:uid="{72AA2874-DF3F-4C8F-B554-CAD06EA2BD36}"/>
    <hyperlink ref="AN3" r:id="rId22" display="https://drive.google.com/drive/folders/1yhMTaTQriJdUFU7yPDjrwKLvI81Ss6AE?usp=sharing" xr:uid="{AE831F40-F2B3-4E7F-AA5B-338222532C0F}"/>
    <hyperlink ref="AR3" r:id="rId23" display="https://drive.google.com/drive/folders/1XOuiBACBi8BwyTeRKAQCrBiDC4hB5bjZ?usp=sharing" xr:uid="{E0054936-4EE5-4295-925C-92791E5A2823}"/>
    <hyperlink ref="AV3" r:id="rId24" display="https://drive.google.com/drive/folders/18f5h6Q8sOQDR7nabuhG-9jqFEQqeZAUH?usp=sharing" xr:uid="{3426DBA9-A26F-43CA-A98F-5720E8F7075E}"/>
    <hyperlink ref="AZ3" r:id="rId25" display="https://drive.google.com/drive/folders/11FXRdCx5HnX-H9Wt8460tyeW-YyRWn9C?usp=sharing" xr:uid="{5C972EA0-1CF8-4F0D-AE61-5EA9F06AA2B0}"/>
    <hyperlink ref="BD3" r:id="rId26" display="https://drive.google.com/drive/folders/1CqzRmL8FjkQZnELVI1iLHBZk5tVkYd-l?usp=sharing" xr:uid="{AF4B3800-4DDA-4CC7-A570-3CB2D683334C}"/>
    <hyperlink ref="BH3" r:id="rId27" display="https://drive.google.com/drive/folders/1CqzRmL8FjkQZnELVI1iLHBZk5tVkYd-l?usp=sharing" xr:uid="{4F482E54-1091-4632-9EFC-BC145469B88A}"/>
    <hyperlink ref="BL3" r:id="rId28" display="https://drive.google.com/drive/folders/11isQM2FXIYjqiCFc7X3fURANJvmo0ouJ?usp=sharing" xr:uid="{4CF0C113-CC8C-409E-84B1-2C8D4C2D6BC2}"/>
    <hyperlink ref="BP3" r:id="rId29" display="https://drive.google.com/drive/folders/1wCH6N2etwGQJW5FrA9boFT2E40SuDOLG?usp=sharing" xr:uid="{3CD80C44-A186-4FBA-8F72-DA6C1B92E325}"/>
    <hyperlink ref="BT3" r:id="rId30" display="https://drive.google.com/drive/folders/1dGwdIVzJC4F96R5JsP2BKGQLfAvDz1eh?usp=sharing" xr:uid="{7108ABB6-3F1B-4CF8-86DC-962CF6CAFF85}"/>
    <hyperlink ref="BX3" r:id="rId31" display="https://drive.google.com/drive/folders/1Hhr-OPEaQtLQyuWd3KhvPpVrRRzegum9?usp=sharing" xr:uid="{576DF259-86DB-468E-A4D7-FBF896F031A8}"/>
    <hyperlink ref="CB3" r:id="rId32" display="https://drive.google.com/drive/folders/1vEWHfPPKVFb-L2-9VR8QFBjSi78n6Cee?usp=sharing" xr:uid="{2ED6D0AB-A867-4CD1-83D4-9FE526A2F894}"/>
    <hyperlink ref="P4" r:id="rId33" display="https://drive.google.com/drive/folders/11l-23zLvbXeA5UT_xP_4gaF1k4NZzyrK?usp=sharing" xr:uid="{26A8119C-29CE-4FCC-BC93-8BDB54C9514B}"/>
    <hyperlink ref="T4" r:id="rId34" display="https://drive.google.com/drive/folders/1L3xIwleBhLkgD0roy8MGnwGbxpuTv342?usp=sharing" xr:uid="{19C9C766-A39A-4966-90C5-95097B9EA8BB}"/>
    <hyperlink ref="X4" r:id="rId35" display="https://drive.google.com/drive/folders/1316kRs9TbOXThjZovYRii7QCjK5HrPDW?usp=sharing" xr:uid="{0D373FC2-9B86-4F98-BDD7-B776DC9819B0}"/>
    <hyperlink ref="AB4" r:id="rId36" display="https://drive.google.com/drive/folders/1OsuB3JWxEBCgMv-kBDOXLoI6bmRwT7aM?usp=sharing" xr:uid="{34EB399F-1485-4365-9AEA-D6B4E1CC1B1F}"/>
    <hyperlink ref="AF4" r:id="rId37" display="https://drive.google.com/drive/folders/1KYbq4EqtrjEnKWeVKeeQBE3wcoYWkcHq?usp=sharing" xr:uid="{C136F38D-70EF-4BED-9375-8F6B64341A84}"/>
    <hyperlink ref="AJ4" r:id="rId38" display="https://drive.google.com/drive/folders/1ndxbzrtRWgEm2pe224mroXcFCzZqpdww?usp=sharing" xr:uid="{22F18AD7-4527-438A-B5CA-B21D7CF5041F}"/>
    <hyperlink ref="AN4" r:id="rId39" display="https://drive.google.com/drive/folders/1Ly8MDKuqNbsGb0Yb-eLS_kUNCwk9yD95?usp=sharing" xr:uid="{2A434D69-9EE7-4775-872E-D61753C6C0CB}"/>
    <hyperlink ref="AR4" r:id="rId40" display="https://drive.google.com/drive/folders/1CI8r4DoEDFggoJEGiLjM3iud1PXucGhI?usp=sharing" xr:uid="{24652A64-8BBE-4E57-B600-B4DF0D396C24}"/>
    <hyperlink ref="AV4" r:id="rId41" display="https://drive.google.com/drive/folders/1xwWHZRDzzPZdPJ9Zikc-qH1YNyTs0c8x?usp=sharing" xr:uid="{18BC290D-431B-4E5D-BCE1-9EF642C7B0B2}"/>
    <hyperlink ref="AZ4" r:id="rId42" display="https://drive.google.com/drive/folders/1tZkSlF-2Pziq09A6Md0GKTHb9DerGt1k?usp=sharing" xr:uid="{3AF57C5A-A417-43E6-BFE1-B15FF0BE2B12}"/>
    <hyperlink ref="BD4" r:id="rId43" display="https://drive.google.com/drive/folders/1AsWFIbufVKJF89qpTNk5r2Q-WYBOzk-G?usp=sharing" xr:uid="{3E4787AB-852B-45BB-8136-342BECEED0D0}"/>
    <hyperlink ref="BH4" r:id="rId44" display="https://drive.google.com/drive/folders/1eyDg2w-bTDQqHOQfGWHrOTu-bhd3bdX8?usp=sharing" xr:uid="{3967927B-E07F-4E68-A25A-B064D9E5C891}"/>
    <hyperlink ref="BL4" r:id="rId45" display="https://drive.google.com/drive/folders/1yshq_N6gQffhaiMJ0xk_fOCOh0gCSXec?usp=sharing" xr:uid="{89160433-ADBC-4F39-9AF3-32AD008EFA74}"/>
    <hyperlink ref="BP4" r:id="rId46" display="https://drive.google.com/drive/folders/1Zch39L864gSVJf8cV0s19rGYq_T6FkKk?usp=sharing" xr:uid="{067E16C9-E287-4261-99BB-7BE9104477C7}"/>
    <hyperlink ref="BT4" r:id="rId47" display="https://drive.google.com/drive/folders/16heYDIP-wuLc8iyFYYCiFiT6DRhdrSlU?usp=sharing" xr:uid="{FE886C30-1ADB-4E1E-8164-DAC27DC405CA}"/>
    <hyperlink ref="BX4" r:id="rId48" display="https://drive.google.com/drive/folders/1vwToAzLzxISkwwwE61JHQlAv7-nbFlgY?usp=sharing" xr:uid="{567097CA-FEB6-441C-B3C1-EE944FC51C62}"/>
    <hyperlink ref="CB4" r:id="rId49" display="https://drive.google.com/drive/folders/149bjnyNozcFh-5e2YheGXPMWLIM59p5r?usp=sharing" xr:uid="{22371CFD-8E2E-403D-A28F-E03555B055BF}"/>
    <hyperlink ref="P5" r:id="rId50" display="https://drive.google.com/file/d/1Hpqd5Yb6Onnh8-DH9jEDomLO1tQCuA2j/view?usp=drive_link" xr:uid="{5D412DEE-7608-475D-9CC4-B49836D2BBA5}"/>
    <hyperlink ref="T5" r:id="rId51" display="https://drive.google.com/file/d/1R67FaTEABjvPmdurEneV8FjlASizp9ry/view?usp=drive_link" xr:uid="{A1C5839F-42AF-48A5-8F43-FC98A5042D7F}"/>
    <hyperlink ref="X5" r:id="rId52" display="https://drive.google.com/file/d/1XAqQc0KAcPLpkRwT38ITg6m2cNATqi7h/view?usp=drive_link" xr:uid="{E4545908-0D7E-4949-BD12-CE09849DC776}"/>
    <hyperlink ref="AB5" r:id="rId53" display="https://drive.google.com/file/d/1dG8Hd_M5GscTug_ohFWhjJ-g8EDeSea1/view?usp=drive_link" xr:uid="{D81DCA00-1198-4E8F-9C4F-BB3E9E03AB34}"/>
    <hyperlink ref="AF5" r:id="rId54" display="https://drive.google.com/file/d/1O5gbuPVjJAyyrau8L2SVaFTawU4whusU/view?usp=drive_link" xr:uid="{17A27A69-0BD0-4B2E-BA03-DB45F2455570}"/>
    <hyperlink ref="AJ5" r:id="rId55" display="https://drive.google.com/file/d/1XUsPySuyHND-m8CuccLynBDiyiw7N0ss/view?usp=drive_link" xr:uid="{6B04B98A-ACDE-4C1C-BA69-D21319AA56BC}"/>
    <hyperlink ref="AN5" r:id="rId56" display="https://drive.google.com/file/d/1NfBY2OeRJOn_f_9QytR9dU14bkYfTAEV/view?usp=drive_link" xr:uid="{362D09BD-C973-41C2-873E-D08A162380FF}"/>
    <hyperlink ref="AR5" r:id="rId57" display="https://drive.google.com/file/d/1HVGoFt41wx9_WtcF_vTscDfeMLAixAH0/view?usp=drive_link" xr:uid="{16414122-F754-410C-8317-E78CA021E302}"/>
    <hyperlink ref="AV5" r:id="rId58" display="https://drive.google.com/file/d/1Z2rwzOGXN8XCQresGyS8L5dqaJaommUK/view?usp=drive_link" xr:uid="{AD1B061E-6E0E-4AD8-8D45-024DEB6DD21A}"/>
    <hyperlink ref="AZ5" r:id="rId59" display="https://drive.google.com/file/d/1tjKRxZZ08a1wimJ12C5OrYdHRgXIWWCG/view?usp=drive_link" xr:uid="{AAC97974-2A92-4E02-B0E0-0EDCA6868214}"/>
    <hyperlink ref="BD5" r:id="rId60" display="https://drive.google.com/file/d/1E0i_dp5cc7JOzMSe0jxkoxxxn8VQc5mb/view?usp=drive_link" xr:uid="{5E0CA477-208A-445A-A6C4-DA9BC926C5DC}"/>
    <hyperlink ref="BH5" r:id="rId61" display="https://drive.google.com/file/d/1xEj3v_MfCYx9XDtf_fKi9bhJH5wB_Wez/view?usp=drive_link" xr:uid="{3514E4CA-64AA-4A48-9DBB-57A597DBB11D}"/>
    <hyperlink ref="BL5" r:id="rId62" display="https://drive.google.com/file/d/1vadJMk8QvlCtwFgOOSg04Nz4KXj40Qsc/view?usp=drive_link" xr:uid="{0DFAE805-B188-4A97-BD9C-7C1E0EB9B0CC}"/>
    <hyperlink ref="BP5" r:id="rId63" display="https://drive.google.com/file/d/1nNpJRkQh4AsD0HKtarI1cShSrmBl4A3K/view?usp=drive_link" xr:uid="{A76E02C3-06F5-4E84-91C1-7BCC3A3359E4}"/>
    <hyperlink ref="BT5" r:id="rId64" display="https://drive.google.com/file/d/1Degq2w3r5X_wkvEYHTquCFH0q4OkxG52/view?usp=drive_link" xr:uid="{9216232A-D7EE-4BE1-8CAA-E802FA1D06CD}"/>
    <hyperlink ref="BX5" r:id="rId65" display="https://drive.google.com/file/d/1uZLZbVS3fdnvyD2KZ0kLWpDs2MkIfLho/view?usp=drive_linkhttps://drive.google.com/file/d/1uZLZbVS3fdnvyD2KZ0kLWpDs2MkIfLho/view?usp=drive_link" xr:uid="{B7716D81-36DC-49C1-963E-910492E166F8}"/>
    <hyperlink ref="CB5" r:id="rId66" display="https://drive.google.com/file/d/1C_Ua3RKqXBrVy_5vTRArga299lwA_Low/view?usp=drive_link" xr:uid="{F07C8B35-B2F2-46A9-A6AB-557F383FABF9}"/>
    <hyperlink ref="P6" r:id="rId67" display="https://drive.google.com/drive/folders/1_GK9q0B6mkNQjgt2UfVejTSTUZp6Icvd?usp=sharing" xr:uid="{10F447A6-D83E-41C7-86B1-95561BE6F8DF}"/>
    <hyperlink ref="T6" r:id="rId68" display="https://drive.google.com/drive/folders/1-ij7X64FV6sUirNhy-lCfzWiU93dA6oc?usp=sharing" xr:uid="{563AC94F-10E9-4785-9707-390F29D6BE7B}"/>
    <hyperlink ref="X6" r:id="rId69" display="https://drive.google.com/drive/folders/1hFhBodljg94INveN8gzHZLKTeRycMtoj?usp=sharing" xr:uid="{836795F4-ECA0-4ABD-8E1A-887D8C210E34}"/>
    <hyperlink ref="AB6" r:id="rId70" display="https://drive.google.com/drive/folders/1nNSQT6bBT3ynq14hzqQsEslIiCihIzJc?usp=sharing" xr:uid="{C2B82542-91F6-478B-8ABF-C9A03DA80461}"/>
    <hyperlink ref="AF6" r:id="rId71" display="https://drive.google.com/drive/folders/1UyK9iEjeb7nXwaE1IVDs_ivVLPlLQ1SF?usp=sharing" xr:uid="{F58A2E15-628F-40A3-928F-E401404F6593}"/>
    <hyperlink ref="AJ6" r:id="rId72" display="https://drive.google.com/drive/folders/1FQ40R8jQtyOJyqSyO5gpgAEb0ZlTYtGk?usp=sharing" xr:uid="{AD458148-554D-452D-9B0C-459D292E5A7E}"/>
    <hyperlink ref="AN6" r:id="rId73" display="https://drive.google.com/drive/folders/11y4asUs-prxqZr2z9Xw10Hps0-S6v-Hk?usp=sharing" xr:uid="{94C3F22E-4EE1-4E20-9E34-5994A7A76EAC}"/>
    <hyperlink ref="AR6" r:id="rId74" display="https://drive.google.com/drive/folders/1PgTNCNAHrQ33djdYe-BfX5nZchJVmABE?usp=sharing" xr:uid="{9BD3F640-4A43-430E-94A7-C7F93CFC3492}"/>
    <hyperlink ref="AV6" r:id="rId75" display="https://drive.google.com/drive/folders/1RjDWiajNs0AaUHnYPLC_NwrFtI8FsJDR?usp=sharing" xr:uid="{CF21450F-F522-47CD-87D6-76DAB5CFC757}"/>
    <hyperlink ref="AZ6" r:id="rId76" display="https://drive.google.com/drive/folders/1iqKkffRdpO2ybTNGQwzcGkEeVoeuObho?usp=sharing" xr:uid="{E4CFAC4D-3053-41E2-A831-9D36DD31CA76}"/>
    <hyperlink ref="BD6" r:id="rId77" display="https://drive.google.com/drive/folders/1qZvTscBWee852nbOSJvDcwIlSee_9ok5?usp=sharing" xr:uid="{29604BB2-DB6A-4CD6-A02B-58D2DB63BF29}"/>
    <hyperlink ref="BH6" r:id="rId78" display="https://drive.google.com/drive/folders/1yqnvDl1MyATHXtfkmQOzoyFfpX3Ps4dc?usp=sharing" xr:uid="{40946182-AD9B-48E1-9F83-F7AF90C23215}"/>
    <hyperlink ref="BL6" r:id="rId79" display="https://drive.google.com/drive/folders/19lDdMzf3QARFd6M-Y8GBQd_iqFY0baUz?usp=sharing" xr:uid="{5BC7D156-3D3B-4EE4-A8E4-B966EF6E92D3}"/>
    <hyperlink ref="BP6" r:id="rId80" display="https://drive.google.com/drive/folders/1hk9Wrb5E1Zp1gHp-bc-McdAKU5oyHcjc?usp=sharing" xr:uid="{68C8CD1A-CF99-4CB1-BEF9-D6F86663235C}"/>
    <hyperlink ref="BT6" r:id="rId81" display="https://drive.google.com/drive/folders/1MHHlHjDGFGEXx3o_LXIEzpK2lmZvKDGs?usp=sharing" xr:uid="{A5BD67AB-6611-467C-9257-EA6D72AECC43}"/>
    <hyperlink ref="BX6" r:id="rId82" display="https://drive.google.com/drive/folders/1nHreKWoN7W6Jp0G8dgu3YctLKRCBext5?usp=sharing" xr:uid="{A612EA4C-E218-40E7-B94B-B562CD1FA5F2}"/>
    <hyperlink ref="CB6" r:id="rId83" display="https://drive.google.com/drive/folders/19lDdMzf3QARFd6M-Y8GBQd_iqFY0baUz?usp=sharing" xr:uid="{37BB4015-05A8-4357-8747-6FC042481D8E}"/>
    <hyperlink ref="P7" r:id="rId84" display="https://drive.google.com/file/d/1Chj7O3wVfibeDWoMGQ48lO_sqDXCXx0F/view?usp=sharing" xr:uid="{321610E6-B86B-4729-A8DD-EDB9FE5B4F58}"/>
    <hyperlink ref="T7" r:id="rId85" display="https://drive.google.com/file/d/1jh7imcTGBLIEVrcOEYPWWecJBjTVowwN/view?usp=sharing" xr:uid="{56EB4A28-3B9D-4A48-B57A-467CB691E5B4}"/>
    <hyperlink ref="X7" r:id="rId86" display="https://drive.google.com/file/d/1t-YUMjteFjbdiBdogRvbhzKTQl9CQbQx/view?usp=sharing" xr:uid="{76D48968-FF68-4102-996A-E95E92C4A423}"/>
    <hyperlink ref="AB7" r:id="rId87" display="https://drive.google.com/file/d/1t5ngyeQEJtY_3hQsmhPK-jypKWBCxWJy/view?usp=sharing" xr:uid="{3486BB66-A4DE-4397-8642-964E08D6757D}"/>
    <hyperlink ref="AF7" r:id="rId88" display="https://drive.google.com/file/d/1R_x22fnBZiFrlkEEOhbGKKoVxeuYS1KL/view?usp=sharing" xr:uid="{4806A363-7329-4107-A93F-BAE37F250A27}"/>
    <hyperlink ref="AJ7" r:id="rId89" display="https://drive.google.com/file/d/12lTXaBavqKTLVKf0QVQnXWUZ6Ps7zd_M/view?usp=sharing" xr:uid="{80AF19E1-2621-44D7-B774-F6A644514EE4}"/>
    <hyperlink ref="AR7" r:id="rId90" display="https://drive.google.com/file/d/1Kehe-PqsCqOv1Ii061uJprI-uyFfGLMj/view?usp=sharing" xr:uid="{16AE2EF6-BC35-48DF-BA73-6A88163453F3}"/>
    <hyperlink ref="AV7" r:id="rId91" display="https://drive.google.com/file/d/1v1yh0rMBb1NmImxxpo19wI-H8yVx47qJ/view?usp=sharing" xr:uid="{C40B6FB5-A5DE-4813-AAD3-80B118F79ADC}"/>
    <hyperlink ref="AZ7" r:id="rId92" display="https://drive.google.com/file/d/1wydMS48FR0Wmj3TMeEPhREPlKTut538j/view?usp=sharing" xr:uid="{15DFC2EE-114D-4454-844C-AE41D6F0274D}"/>
    <hyperlink ref="BD7" r:id="rId93" display="https://drive.google.com/file/d/1_73kEzeKETjQSUNJscZ4IfbEiE9v_ZBI/view?usp=sharing" xr:uid="{0E9A92CE-C554-4298-8B41-7E40AF09D0B4}"/>
    <hyperlink ref="BH7" r:id="rId94" display="https://drive.google.com/file/d/1poIqMCJ8m-xxoYx7SsENLofaJHkk4r9I/view?usp=sharing" xr:uid="{EBD03078-223A-4A29-BDB0-35B1D70BC2F5}"/>
    <hyperlink ref="BL7" r:id="rId95" display="https://drive.google.com/file/d/194PsFhXERFAlMTB1IvmPXMeej2MqJPFG/view?usp=sharing" xr:uid="{2E78DE64-889A-4B76-92BD-11FF24EE587C}"/>
    <hyperlink ref="BP7" r:id="rId96" display="https://drive.google.com/file/d/1HQdo8871KR9gUlx7pKB_dyORWKZLQTl2/view?usp=sharing" xr:uid="{A1677038-69AB-4354-AEB1-FEF5C233E23B}"/>
    <hyperlink ref="BT7" r:id="rId97" display="https://drive.google.com/file/d/17fkHwUFRIWV22-e-VZq9oxfaJHgrZkV4/view?usp=sharing" xr:uid="{F550AD89-6B1E-41AB-A08C-97773C8ECB1A}"/>
    <hyperlink ref="BX7" r:id="rId98" display="https://drive.google.com/file/d/1Uu0n14NFdwgDNcVzBdOYXu1EEoTbMmxt/view?usp=sharing" xr:uid="{476D42DA-0C02-4858-8B12-88AEB916E08D}"/>
    <hyperlink ref="CB7" r:id="rId99" display="https://drive.google.com/file/d/1w-sATADnB2JKdbFvhmXJRQZuWfRCtqT7/view?usp=sharing" xr:uid="{B379C0D8-D905-4717-90E6-92F79A0EFD9D}"/>
    <hyperlink ref="P8" r:id="rId100" display="https://drive.google.com/drive/folders/1A4OWGCNsR9dd5vLH-rfILL4crWyx2agw?usp=sharing" xr:uid="{9A9B3A76-89A7-46CB-8A11-0572FC1753B8}"/>
    <hyperlink ref="T8" r:id="rId101" display="https://drive.google.com/drive/folders/1pAByOLL5U3FQtIFtYV5F6qr8v0pqocpe?usp=sharing" xr:uid="{57224ECF-03A2-4CAB-A30D-8898DE6DBC64}"/>
    <hyperlink ref="X8" r:id="rId102" display="https://drive.google.com/drive/folders/15v6A0PUMY8daTJXa0lWawElBOA9S8lr4?usp=sharing" xr:uid="{9EB17872-3899-4C02-B40D-AC67DEA5E48B}"/>
    <hyperlink ref="AB8" r:id="rId103" display="https://drive.google.com/drive/folders/1QykT9Jyq7mLu20XAufjxYYUP2aZBjZfe?usp=sharing" xr:uid="{FD675EC9-DCF1-4ACC-84E3-22BEFA932CA6}"/>
    <hyperlink ref="AF8" r:id="rId104" display="https://drive.google.com/drive/folders/1evOR_1-AOcfOqFcNOSPSGZ58blYo0fnI?usp=sharing" xr:uid="{DB2C8686-A362-4903-947C-6B136B44C6D3}"/>
    <hyperlink ref="AJ8" r:id="rId105" display="https://drive.google.com/drive/folders/1YS8JCVX1xJOKTUejPSybctpRFvfoQedM?usp=sharing" xr:uid="{1B2AF5F1-B2A6-4733-8163-2E28FD1E2066}"/>
    <hyperlink ref="AR8" r:id="rId106" display="https://drive.google.com/drive/folders/1gCICDO4wLC5DNDrrRIiz41SgOGRzns8O?usp=sharing" xr:uid="{5CB34102-2136-4AD4-BAD2-491C83A369F2}"/>
    <hyperlink ref="BP8" r:id="rId107" display="https://drive.google.com/drive/folders/1xGRAZkvP9yQLunxK4JDd_O4MoUS8BsXS?usp=sharing" xr:uid="{E10B00B5-0010-4F5C-9F63-1EB0EE048305}"/>
    <hyperlink ref="BT8" r:id="rId108" display="https://drive.google.com/drive/folders/1qhZ6p_Xj4bFhspGORVqKYpMUwycjEom9?usp=sharinghttps://drive.google.com/drive/folders/1wC7aI7chz0sdff26vn7fywhevF6goKua?usp=sharing" xr:uid="{4ED6138E-6B94-40FE-98BE-FBBBCF37DFC3}"/>
    <hyperlink ref="BX8" r:id="rId109" display="https://drive.google.com/drive/folders/1wC7aI7chz0sdff26vn7fywhevF6goKua?usp=sharing" xr:uid="{85AC8E8C-5FE6-4EE3-9A20-27B638FA4C0F}"/>
    <hyperlink ref="CB8" r:id="rId110" display="https://drive.google.com/drive/folders/1uVGzryscuEea4ZkMaJ-Lv9dTphDqHVaF?usp=sharing" xr:uid="{5D5CFE5B-B111-485C-9914-DE3BD7252D6F}"/>
    <hyperlink ref="P9" r:id="rId111" display="https://drive.google.com/file/d/1irvSaw45YUCLcHUF5J0AyLADK9G9_gf5/view?usp=drive_link" xr:uid="{2AD6FA71-0847-4807-A3F5-20D83189DDFE}"/>
    <hyperlink ref="T9" r:id="rId112" display="https://drive.google.com/file/d/1PkHxgQ2B5DPEquv_X30Nc2Rs2R0VZFhh/view?usp=drive_link" xr:uid="{0D603149-3DDE-4934-A1FF-D021C32D6166}"/>
    <hyperlink ref="X9" r:id="rId113" display="https://drive.google.com/file/d/1c4DCxIoWcWjc1Nz8Yw4Q_2jBdC3ONL6F/view?usp=drive_link" xr:uid="{0A22FC50-9644-4B27-B967-EEEADF9405C1}"/>
    <hyperlink ref="AB9" r:id="rId114" display="https://drive.google.com/file/d/1C9LoVaGCK3ATybYcn6dy6wIfEyuVTzCb/view?usp=drive_link" xr:uid="{53C1261E-14CF-4E89-9134-44F0C61414D0}"/>
    <hyperlink ref="AF9" r:id="rId115" display="https://drive.google.com/file/d/1sFJ1Jatpn1wWnMbQQ8IhlwbDT63OKQ8y/view?usp=drive_link" xr:uid="{99EACF53-CA5C-4BB3-81CC-24161B5B844C}"/>
    <hyperlink ref="AJ9" r:id="rId116" display="https://drive.google.com/file/d/1P6L0g1ToirKu7gQEdDFxU6nGAI_0aQM8/view?usp=drive_link" xr:uid="{B092D6D0-C08D-495A-B830-3ADD9267E2A0}"/>
    <hyperlink ref="AN9" r:id="rId117" display="https://drive.google.com/file/d/1wVeG1aB3HztjEm1kHhxNOhOIb67wMGde/view?usp=drive_link" xr:uid="{659C6038-ABC5-4D4D-AFCB-B480B4C481FA}"/>
    <hyperlink ref="AR9" r:id="rId118" display="https://drive.google.com/file/d/13yQ6rB69KIovqLIuUJKWrjSvaZVKEFl-/view?usp=drive_link" xr:uid="{E4FF8AB5-C68E-4724-B298-280CCD6788AC}"/>
    <hyperlink ref="AV9" r:id="rId119" display="https://drive.google.com/file/d/1QJdp0kvT--1MtFsw2wgOGVDts33DNel0/view?usp=drive_link" xr:uid="{97E27D78-CD20-475F-9766-D358E5B534EE}"/>
    <hyperlink ref="AZ9" r:id="rId120" display="https://drive.google.com/file/d/1Xr2RYh-aHBmaFqtiSj4N3FloGVxawY-O/view?usp=drive_link" xr:uid="{AE0724AD-51D2-4709-A62B-619BE261582D}"/>
    <hyperlink ref="BD9" r:id="rId121" display="https://drive.google.com/file/d/1H-hPH5bJpJPVz_2HHLnbjO9VeLq4VJwJ/view?usp=drive_link" xr:uid="{6811C061-DB8E-4F82-8B24-DF8544A90C93}"/>
    <hyperlink ref="BH9" r:id="rId122" display="https://drive.google.com/file/d/1gJtEO-LONWX7soG4YcNVyr8DldNDLUk_/view?usp=drive_link" xr:uid="{BBF7CEA8-824A-4BA9-B2C1-A737CC4E370A}"/>
    <hyperlink ref="BL9" r:id="rId123" display="https://drive.google.com/file/d/1vm2RWnIVgPAa1aB4JO6gNHwouKTXI7zm/view?usp=drive_link" xr:uid="{A85B2C68-F1B1-4DF3-A9D1-E70E28559CE0}"/>
    <hyperlink ref="BP9" r:id="rId124" display="https://drive.google.com/file/d/1GEO0Wc2ez_rf3eeu3clwO-AFs5zB6QHo/view?usp=drive_link" xr:uid="{F711E6B5-BB1A-4653-9994-56F72FEE8FEE}"/>
    <hyperlink ref="BT9" r:id="rId125" display="https://drive.google.com/file/d/1LGwD2-BAxu7q0OGtnifyCsC4iICGUfBz/view?usp=drive_link" xr:uid="{77D812C8-D70D-41F2-86B2-25050052719B}"/>
    <hyperlink ref="BX9" r:id="rId126" display="https://drive.google.com/file/d/1_Nrv0BmEpxYbCaO4XhDghAnCo0QGgeMG/view?usp=drive_link" xr:uid="{EF513E1D-6594-42D7-AF06-4656D8D22853}"/>
    <hyperlink ref="CB9" r:id="rId127" display="https://drive.google.com/file/d/1qLG81PflViBAkMFN_chL3K1J0PQB7KuH/view?usp=drive_link" xr:uid="{78432D67-28D5-494B-B29C-9D103D4423BF}"/>
    <hyperlink ref="P10" r:id="rId128" display="https://drive.google.com/file/d/1XEHc5njBqmKEiNCKoFMDvhwEJ_ZK_Wfo/view?usp=drive_link" xr:uid="{08425DD5-A140-4BC0-9E5B-BAA1D9AB6DED}"/>
    <hyperlink ref="T10" r:id="rId129" display="https://drive.google.com/file/d/1mzDhP1oHXD4l6pxOJHIcgrSMf4a1_6N5/view?usp=drive_link" xr:uid="{8D6EC0DB-B52E-4E2E-899B-4D4D36BE26DD}"/>
    <hyperlink ref="X10" r:id="rId130" display="https://drive.google.com/file/d/1BvnO798v5qj0qD1mXFMXEbrZqBj-4V7n/view?usp=drive_link" xr:uid="{7FC2EA1C-892A-443A-BE1F-5C1C900B7F80}"/>
    <hyperlink ref="AB10" r:id="rId131" display="https://drive.google.com/file/d/1agYE2RhRCS2m3VyxpptayoLsaO7Ld9cm/view?usp=drive_link" xr:uid="{5382945B-A157-4F61-A7F8-B2B3D94FA398}"/>
    <hyperlink ref="AF10" r:id="rId132" display="https://drive.google.com/file/d/1XEHc5njBqmKEiNCKoFMDvhwEJ_ZK_Wfo/view?usp=drive_link" xr:uid="{498AFCF3-5935-49DF-8086-05998C9EA175}"/>
    <hyperlink ref="AJ10" r:id="rId133" display="https://drive.google.com/file/d/1-w53kHK62VT3R4cT-WxSSBfTUQYGvTnF/view?usp=drive_link" xr:uid="{CF90AEB2-6AAC-403C-BB5E-DFE5B3704450}"/>
    <hyperlink ref="AR10" r:id="rId134" display="https://drive.google.com/file/d/11x27tOCsjUBsj4KaoEdpmLHDgaqvNZv-/view?usp=drive_link" xr:uid="{4D8BE394-3646-495E-8C26-9B032C003622}"/>
    <hyperlink ref="AV10" r:id="rId135" display="https://drive.google.com/file/d/1RLa90NZEW_QpuOgaRC14JtjXrx_ULRcC/view?usp=drive_link" xr:uid="{9ED1AF97-3B57-4E81-8EE6-09C1F00FBBBB}"/>
    <hyperlink ref="AZ10" r:id="rId136" display="https://drive.google.com/drive/folders/1Kf1mQ5Btn9zG0KVM189n9Yw8NzqQA-ky?usp=drive_link" xr:uid="{DC07AC92-E4C3-4AF0-918F-8EF781316155}"/>
    <hyperlink ref="BH10" r:id="rId137" display="https://drive.google.com/file/d/1Wuqo-AE8txhttps:/drive.google.com/file/d/1uK9JqZwVFbRSLu-VubL5Hmb3lGeJWv6l/view?usp=drive_linkLBP4s_UO1uj5HonZOUPKnA/view?usp=drive_link" xr:uid="{966EDA98-7CB1-4E86-B370-141E05A4910F}"/>
    <hyperlink ref="BP10" r:id="rId138" display="https://drive.google.com/file/d/1fmRgwUaHC1mkrgm4agkEp8Qo4xb4-PqN/view?usp=drive_link" xr:uid="{EECE55CE-80E1-40D2-978E-56A3F990B7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E7C0-B3E5-4473-AC30-FC1AE68E86DF}">
  <dimension ref="A1:BK10"/>
  <sheetViews>
    <sheetView workbookViewId="0">
      <selection activeCell="E21" sqref="E21"/>
    </sheetView>
  </sheetViews>
  <sheetFormatPr defaultRowHeight="14.4" x14ac:dyDescent="0.3"/>
  <sheetData>
    <row r="1" spans="1:63" ht="132.6" customHeight="1" thickBot="1" x14ac:dyDescent="0.35">
      <c r="A1" s="80" t="s">
        <v>111</v>
      </c>
      <c r="B1" s="81" t="s">
        <v>112</v>
      </c>
      <c r="C1" s="81" t="s">
        <v>113</v>
      </c>
      <c r="D1" s="81" t="s">
        <v>114</v>
      </c>
      <c r="E1" s="81" t="s">
        <v>13</v>
      </c>
      <c r="F1" s="81" t="s">
        <v>115</v>
      </c>
      <c r="G1" s="81" t="s">
        <v>116</v>
      </c>
      <c r="H1" s="81" t="s">
        <v>117</v>
      </c>
      <c r="I1" s="81" t="s">
        <v>118</v>
      </c>
      <c r="J1" s="81" t="s">
        <v>119</v>
      </c>
      <c r="K1" s="81" t="s">
        <v>120</v>
      </c>
      <c r="L1" s="81" t="s">
        <v>121</v>
      </c>
      <c r="M1" s="81" t="s">
        <v>122</v>
      </c>
      <c r="N1" s="81" t="s">
        <v>123</v>
      </c>
      <c r="O1" s="81" t="s">
        <v>124</v>
      </c>
      <c r="P1" s="81" t="s">
        <v>125</v>
      </c>
      <c r="Q1" s="81" t="s">
        <v>126</v>
      </c>
      <c r="R1" s="81" t="s">
        <v>127</v>
      </c>
      <c r="S1" s="81" t="s">
        <v>128</v>
      </c>
      <c r="T1" s="81" t="s">
        <v>129</v>
      </c>
      <c r="U1" s="81" t="s">
        <v>130</v>
      </c>
      <c r="V1" s="81" t="s">
        <v>131</v>
      </c>
      <c r="W1" s="81" t="s">
        <v>132</v>
      </c>
      <c r="X1" s="81" t="s">
        <v>133</v>
      </c>
      <c r="Y1" s="81" t="s">
        <v>134</v>
      </c>
      <c r="Z1" s="81" t="s">
        <v>135</v>
      </c>
      <c r="AA1" s="81" t="s">
        <v>136</v>
      </c>
      <c r="AB1" s="81" t="s">
        <v>137</v>
      </c>
      <c r="AC1" s="81" t="s">
        <v>138</v>
      </c>
      <c r="AD1" s="81" t="s">
        <v>139</v>
      </c>
      <c r="AE1" s="81" t="s">
        <v>140</v>
      </c>
      <c r="AF1" s="81" t="s">
        <v>141</v>
      </c>
      <c r="AG1" s="81" t="s">
        <v>142</v>
      </c>
      <c r="AH1" s="81" t="s">
        <v>143</v>
      </c>
      <c r="AI1" s="81" t="s">
        <v>144</v>
      </c>
      <c r="AJ1" s="81" t="s">
        <v>145</v>
      </c>
      <c r="AK1" s="81" t="s">
        <v>146</v>
      </c>
      <c r="AL1" s="81" t="s">
        <v>147</v>
      </c>
      <c r="AM1" s="81" t="s">
        <v>148</v>
      </c>
      <c r="AN1" s="81" t="s">
        <v>149</v>
      </c>
      <c r="AO1" s="81" t="s">
        <v>150</v>
      </c>
      <c r="AP1" s="81" t="s">
        <v>151</v>
      </c>
      <c r="AQ1" s="81" t="s">
        <v>152</v>
      </c>
      <c r="AR1" s="81" t="s">
        <v>153</v>
      </c>
      <c r="AS1" s="81" t="s">
        <v>154</v>
      </c>
      <c r="AT1" s="81" t="s">
        <v>155</v>
      </c>
      <c r="AU1" s="81" t="s">
        <v>156</v>
      </c>
      <c r="AV1" s="81" t="s">
        <v>157</v>
      </c>
      <c r="AW1" s="81" t="s">
        <v>158</v>
      </c>
      <c r="AX1" s="81" t="s">
        <v>159</v>
      </c>
      <c r="AY1" s="81" t="s">
        <v>160</v>
      </c>
      <c r="AZ1" s="81" t="s">
        <v>161</v>
      </c>
      <c r="BA1" s="81" t="s">
        <v>162</v>
      </c>
      <c r="BB1" s="82" t="s">
        <v>163</v>
      </c>
      <c r="BC1" s="83" t="s">
        <v>164</v>
      </c>
      <c r="BD1" s="84" t="s">
        <v>165</v>
      </c>
      <c r="BE1" s="85" t="s">
        <v>166</v>
      </c>
      <c r="BF1" s="86" t="s">
        <v>167</v>
      </c>
      <c r="BG1" s="81" t="s">
        <v>168</v>
      </c>
      <c r="BH1" s="87"/>
      <c r="BI1" s="87"/>
      <c r="BJ1" s="87"/>
      <c r="BK1" s="87"/>
    </row>
    <row r="2" spans="1:63" ht="159" thickBot="1" x14ac:dyDescent="0.35">
      <c r="A2" s="88" t="s">
        <v>169</v>
      </c>
      <c r="B2" s="89" t="s">
        <v>170</v>
      </c>
      <c r="C2" s="89" t="s">
        <v>171</v>
      </c>
      <c r="D2" s="89" t="s">
        <v>172</v>
      </c>
      <c r="E2" s="88">
        <v>10213350</v>
      </c>
      <c r="F2" s="89" t="s">
        <v>173</v>
      </c>
      <c r="G2" s="89" t="s">
        <v>174</v>
      </c>
      <c r="H2" s="89" t="s">
        <v>175</v>
      </c>
      <c r="I2" s="89" t="s">
        <v>176</v>
      </c>
      <c r="J2" s="89" t="s">
        <v>177</v>
      </c>
      <c r="K2" s="89" t="s">
        <v>178</v>
      </c>
      <c r="L2" s="89">
        <v>1.9881004201708099E+17</v>
      </c>
      <c r="M2" s="89" t="s">
        <v>179</v>
      </c>
      <c r="N2" s="89" t="s">
        <v>180</v>
      </c>
      <c r="O2" s="89" t="s">
        <v>181</v>
      </c>
      <c r="P2" s="88">
        <v>1</v>
      </c>
      <c r="Q2" s="88">
        <v>1</v>
      </c>
      <c r="R2" s="88">
        <v>1</v>
      </c>
      <c r="S2" s="88">
        <v>1</v>
      </c>
      <c r="T2" s="88">
        <v>1</v>
      </c>
      <c r="U2" s="88">
        <v>1</v>
      </c>
      <c r="V2" s="88">
        <v>1</v>
      </c>
      <c r="W2" s="90" t="s">
        <v>182</v>
      </c>
      <c r="X2" s="88">
        <v>1</v>
      </c>
      <c r="Y2" s="88">
        <v>1</v>
      </c>
      <c r="Z2" s="88">
        <v>0</v>
      </c>
      <c r="AA2" s="88">
        <v>0</v>
      </c>
      <c r="AB2" s="90" t="s">
        <v>183</v>
      </c>
      <c r="AC2" s="88">
        <v>1</v>
      </c>
      <c r="AD2" s="88">
        <v>0</v>
      </c>
      <c r="AE2" s="88">
        <v>1</v>
      </c>
      <c r="AF2" s="88">
        <v>1</v>
      </c>
      <c r="AG2" s="88">
        <v>0</v>
      </c>
      <c r="AH2" s="88">
        <v>1</v>
      </c>
      <c r="AI2" s="88">
        <v>0</v>
      </c>
      <c r="AJ2" s="88">
        <v>0</v>
      </c>
      <c r="AK2" s="90" t="s">
        <v>184</v>
      </c>
      <c r="AL2" s="91">
        <v>1</v>
      </c>
      <c r="AM2" s="91">
        <v>1</v>
      </c>
      <c r="AN2" s="91">
        <v>1</v>
      </c>
      <c r="AO2" s="88">
        <v>1</v>
      </c>
      <c r="AP2" s="91">
        <v>1</v>
      </c>
      <c r="AQ2" s="91">
        <v>1</v>
      </c>
      <c r="AR2" s="91">
        <v>1</v>
      </c>
      <c r="AS2" s="88">
        <v>1</v>
      </c>
      <c r="AT2" s="88">
        <v>0</v>
      </c>
      <c r="AU2" s="88">
        <v>1</v>
      </c>
      <c r="AV2" s="90" t="s">
        <v>185</v>
      </c>
      <c r="AW2" s="88">
        <v>1</v>
      </c>
      <c r="AX2" s="88">
        <v>1</v>
      </c>
      <c r="AY2" s="88">
        <v>0</v>
      </c>
      <c r="AZ2" s="88">
        <v>1</v>
      </c>
      <c r="BA2" s="90" t="s">
        <v>186</v>
      </c>
      <c r="BB2" s="92">
        <v>100</v>
      </c>
      <c r="BC2" s="93">
        <v>50</v>
      </c>
      <c r="BD2" s="94">
        <v>50</v>
      </c>
      <c r="BE2" s="95">
        <v>90</v>
      </c>
      <c r="BF2" s="96">
        <v>75</v>
      </c>
      <c r="BG2" s="97">
        <v>73</v>
      </c>
      <c r="BH2" s="89"/>
      <c r="BI2" s="89"/>
      <c r="BJ2" s="89"/>
      <c r="BK2" s="89"/>
    </row>
    <row r="3" spans="1:63" ht="159" thickBot="1" x14ac:dyDescent="0.35">
      <c r="A3" s="88" t="s">
        <v>187</v>
      </c>
      <c r="B3" s="89" t="s">
        <v>170</v>
      </c>
      <c r="C3" s="89" t="s">
        <v>171</v>
      </c>
      <c r="D3" s="89" t="s">
        <v>172</v>
      </c>
      <c r="E3" s="88">
        <v>10213350</v>
      </c>
      <c r="F3" s="89" t="s">
        <v>188</v>
      </c>
      <c r="G3" s="89" t="s">
        <v>174</v>
      </c>
      <c r="H3" s="89">
        <v>81973966424</v>
      </c>
      <c r="I3" s="89" t="s">
        <v>189</v>
      </c>
      <c r="J3" s="89" t="s">
        <v>190</v>
      </c>
      <c r="K3" s="89" t="s">
        <v>191</v>
      </c>
      <c r="L3" s="89">
        <v>1.98612292025212E+17</v>
      </c>
      <c r="M3" s="89" t="s">
        <v>192</v>
      </c>
      <c r="N3" s="89">
        <v>82160840006</v>
      </c>
      <c r="O3" s="89" t="s">
        <v>181</v>
      </c>
      <c r="P3" s="88">
        <v>1</v>
      </c>
      <c r="Q3" s="88">
        <v>1</v>
      </c>
      <c r="R3" s="88">
        <v>1</v>
      </c>
      <c r="S3" s="88">
        <v>1</v>
      </c>
      <c r="T3" s="88">
        <v>1</v>
      </c>
      <c r="U3" s="88">
        <v>1</v>
      </c>
      <c r="V3" s="88">
        <v>1</v>
      </c>
      <c r="W3" s="90" t="s">
        <v>193</v>
      </c>
      <c r="X3" s="88">
        <v>1</v>
      </c>
      <c r="Y3" s="88">
        <v>1</v>
      </c>
      <c r="Z3" s="88">
        <v>0</v>
      </c>
      <c r="AA3" s="88">
        <v>0</v>
      </c>
      <c r="AB3" s="90" t="s">
        <v>194</v>
      </c>
      <c r="AC3" s="88">
        <v>1</v>
      </c>
      <c r="AD3" s="88">
        <v>1</v>
      </c>
      <c r="AE3" s="88">
        <v>1</v>
      </c>
      <c r="AF3" s="88">
        <v>1</v>
      </c>
      <c r="AG3" s="88">
        <v>0</v>
      </c>
      <c r="AH3" s="88">
        <v>0</v>
      </c>
      <c r="AI3" s="88">
        <v>0</v>
      </c>
      <c r="AJ3" s="88">
        <v>0</v>
      </c>
      <c r="AK3" s="90" t="s">
        <v>195</v>
      </c>
      <c r="AL3" s="91">
        <v>1</v>
      </c>
      <c r="AM3" s="91">
        <v>1</v>
      </c>
      <c r="AN3" s="91">
        <v>1</v>
      </c>
      <c r="AO3" s="88">
        <v>1</v>
      </c>
      <c r="AP3" s="91">
        <v>1</v>
      </c>
      <c r="AQ3" s="91">
        <v>1</v>
      </c>
      <c r="AR3" s="91">
        <v>1</v>
      </c>
      <c r="AS3" s="88">
        <v>0</v>
      </c>
      <c r="AT3" s="88">
        <v>0</v>
      </c>
      <c r="AU3" s="88">
        <v>0</v>
      </c>
      <c r="AV3" s="90" t="s">
        <v>196</v>
      </c>
      <c r="AW3" s="88">
        <v>1</v>
      </c>
      <c r="AX3" s="88">
        <v>1</v>
      </c>
      <c r="AY3" s="88">
        <v>0</v>
      </c>
      <c r="AZ3" s="88">
        <v>1</v>
      </c>
      <c r="BA3" s="90" t="s">
        <v>197</v>
      </c>
      <c r="BB3" s="92">
        <v>100</v>
      </c>
      <c r="BC3" s="93">
        <v>50</v>
      </c>
      <c r="BD3" s="94">
        <v>50</v>
      </c>
      <c r="BE3" s="95">
        <v>70</v>
      </c>
      <c r="BF3" s="96">
        <v>75</v>
      </c>
      <c r="BG3" s="97">
        <v>69</v>
      </c>
      <c r="BH3" s="89"/>
      <c r="BI3" s="89"/>
      <c r="BJ3" s="89"/>
      <c r="BK3" s="89"/>
    </row>
    <row r="4" spans="1:63" ht="130.19999999999999" thickBot="1" x14ac:dyDescent="0.35">
      <c r="A4" s="88" t="s">
        <v>198</v>
      </c>
      <c r="B4" s="89" t="s">
        <v>170</v>
      </c>
      <c r="C4" s="89" t="s">
        <v>171</v>
      </c>
      <c r="D4" s="89" t="s">
        <v>172</v>
      </c>
      <c r="E4" s="88">
        <v>10213350</v>
      </c>
      <c r="F4" s="89" t="s">
        <v>188</v>
      </c>
      <c r="G4" s="89" t="s">
        <v>174</v>
      </c>
      <c r="H4" s="89">
        <v>81973966424</v>
      </c>
      <c r="I4" s="89" t="s">
        <v>199</v>
      </c>
      <c r="J4" s="89" t="s">
        <v>190</v>
      </c>
      <c r="K4" s="89" t="s">
        <v>191</v>
      </c>
      <c r="L4" s="89">
        <v>1.9990218202521101E+17</v>
      </c>
      <c r="M4" s="89" t="s">
        <v>179</v>
      </c>
      <c r="N4" s="89">
        <v>85760278393</v>
      </c>
      <c r="O4" s="89" t="s">
        <v>181</v>
      </c>
      <c r="P4" s="88">
        <v>1</v>
      </c>
      <c r="Q4" s="88">
        <v>1</v>
      </c>
      <c r="R4" s="88">
        <v>1</v>
      </c>
      <c r="S4" s="88">
        <v>1</v>
      </c>
      <c r="T4" s="88">
        <v>1</v>
      </c>
      <c r="U4" s="88">
        <v>1</v>
      </c>
      <c r="V4" s="88">
        <v>1</v>
      </c>
      <c r="W4" s="90" t="s">
        <v>200</v>
      </c>
      <c r="X4" s="88">
        <v>1</v>
      </c>
      <c r="Y4" s="88">
        <v>1</v>
      </c>
      <c r="Z4" s="88">
        <v>0</v>
      </c>
      <c r="AA4" s="88">
        <v>0</v>
      </c>
      <c r="AB4" s="90" t="s">
        <v>201</v>
      </c>
      <c r="AC4" s="88">
        <v>1</v>
      </c>
      <c r="AD4" s="88">
        <v>1</v>
      </c>
      <c r="AE4" s="88">
        <v>0</v>
      </c>
      <c r="AF4" s="88">
        <v>1</v>
      </c>
      <c r="AG4" s="88">
        <v>0</v>
      </c>
      <c r="AH4" s="88">
        <v>1</v>
      </c>
      <c r="AI4" s="88">
        <v>0</v>
      </c>
      <c r="AJ4" s="88">
        <v>0</v>
      </c>
      <c r="AK4" s="90" t="s">
        <v>202</v>
      </c>
      <c r="AL4" s="91">
        <v>1</v>
      </c>
      <c r="AM4" s="91">
        <v>1</v>
      </c>
      <c r="AN4" s="91">
        <v>1</v>
      </c>
      <c r="AO4" s="88">
        <v>1</v>
      </c>
      <c r="AP4" s="91">
        <v>1</v>
      </c>
      <c r="AQ4" s="91">
        <v>1</v>
      </c>
      <c r="AR4" s="91">
        <v>1</v>
      </c>
      <c r="AS4" s="88">
        <v>1</v>
      </c>
      <c r="AT4" s="88">
        <v>0</v>
      </c>
      <c r="AU4" s="88">
        <v>1</v>
      </c>
      <c r="AV4" s="90" t="s">
        <v>203</v>
      </c>
      <c r="AW4" s="88">
        <v>1</v>
      </c>
      <c r="AX4" s="88">
        <v>1</v>
      </c>
      <c r="AY4" s="88">
        <v>0</v>
      </c>
      <c r="AZ4" s="88">
        <v>1</v>
      </c>
      <c r="BA4" s="90" t="s">
        <v>204</v>
      </c>
      <c r="BB4" s="92">
        <v>100</v>
      </c>
      <c r="BC4" s="93">
        <v>50</v>
      </c>
      <c r="BD4" s="94">
        <v>50</v>
      </c>
      <c r="BE4" s="95">
        <v>90</v>
      </c>
      <c r="BF4" s="96">
        <v>75</v>
      </c>
      <c r="BG4" s="97">
        <v>73</v>
      </c>
      <c r="BH4" s="89"/>
      <c r="BI4" s="89"/>
      <c r="BJ4" s="89"/>
      <c r="BK4" s="89"/>
    </row>
    <row r="5" spans="1:63" ht="159" thickBot="1" x14ac:dyDescent="0.35">
      <c r="A5" s="88" t="s">
        <v>205</v>
      </c>
      <c r="B5" s="89" t="s">
        <v>170</v>
      </c>
      <c r="C5" s="89" t="s">
        <v>171</v>
      </c>
      <c r="D5" s="89" t="s">
        <v>172</v>
      </c>
      <c r="E5" s="88">
        <v>10213350</v>
      </c>
      <c r="F5" s="89" t="s">
        <v>173</v>
      </c>
      <c r="G5" s="89" t="s">
        <v>174</v>
      </c>
      <c r="H5" s="89">
        <v>81973966424</v>
      </c>
      <c r="I5" s="89" t="s">
        <v>206</v>
      </c>
      <c r="J5" s="89" t="s">
        <v>207</v>
      </c>
      <c r="K5" s="89" t="s">
        <v>191</v>
      </c>
      <c r="L5" s="89" t="s">
        <v>208</v>
      </c>
      <c r="M5" s="89" t="s">
        <v>192</v>
      </c>
      <c r="N5" s="89">
        <v>81360831952</v>
      </c>
      <c r="O5" s="89" t="s">
        <v>181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U5" s="88">
        <v>1</v>
      </c>
      <c r="V5" s="88">
        <v>1</v>
      </c>
      <c r="W5" s="90" t="s">
        <v>209</v>
      </c>
      <c r="X5" s="88">
        <v>1</v>
      </c>
      <c r="Y5" s="88">
        <v>1</v>
      </c>
      <c r="Z5" s="88">
        <v>0</v>
      </c>
      <c r="AA5" s="88">
        <v>0</v>
      </c>
      <c r="AB5" s="90" t="s">
        <v>210</v>
      </c>
      <c r="AC5" s="88">
        <v>1</v>
      </c>
      <c r="AD5" s="88">
        <v>0</v>
      </c>
      <c r="AE5" s="88">
        <v>1</v>
      </c>
      <c r="AF5" s="88">
        <v>1</v>
      </c>
      <c r="AG5" s="88">
        <v>0</v>
      </c>
      <c r="AH5" s="88">
        <v>0</v>
      </c>
      <c r="AI5" s="88">
        <v>0</v>
      </c>
      <c r="AJ5" s="88">
        <v>0</v>
      </c>
      <c r="AK5" s="90" t="s">
        <v>211</v>
      </c>
      <c r="AL5" s="91">
        <v>1</v>
      </c>
      <c r="AM5" s="91">
        <v>1</v>
      </c>
      <c r="AN5" s="91">
        <v>1</v>
      </c>
      <c r="AO5" s="88">
        <v>1</v>
      </c>
      <c r="AP5" s="91">
        <v>1</v>
      </c>
      <c r="AQ5" s="91">
        <v>1</v>
      </c>
      <c r="AR5" s="91">
        <v>1</v>
      </c>
      <c r="AS5" s="88">
        <v>0</v>
      </c>
      <c r="AT5" s="88">
        <v>0</v>
      </c>
      <c r="AU5" s="88">
        <v>0</v>
      </c>
      <c r="AV5" s="90" t="s">
        <v>212</v>
      </c>
      <c r="AW5" s="88">
        <v>1</v>
      </c>
      <c r="AX5" s="88">
        <v>1</v>
      </c>
      <c r="AY5" s="88">
        <v>0</v>
      </c>
      <c r="AZ5" s="88">
        <v>1</v>
      </c>
      <c r="BA5" s="90" t="s">
        <v>213</v>
      </c>
      <c r="BB5" s="92">
        <v>100</v>
      </c>
      <c r="BC5" s="93">
        <v>50</v>
      </c>
      <c r="BD5" s="94">
        <v>37.5</v>
      </c>
      <c r="BE5" s="95">
        <v>70</v>
      </c>
      <c r="BF5" s="96">
        <v>75</v>
      </c>
      <c r="BG5" s="97">
        <v>66.5</v>
      </c>
      <c r="BH5" s="89"/>
      <c r="BI5" s="89"/>
      <c r="BJ5" s="89"/>
      <c r="BK5" s="89"/>
    </row>
    <row r="6" spans="1:63" ht="159" thickBot="1" x14ac:dyDescent="0.35">
      <c r="A6" s="88" t="s">
        <v>214</v>
      </c>
      <c r="B6" s="89" t="s">
        <v>170</v>
      </c>
      <c r="C6" s="89" t="s">
        <v>171</v>
      </c>
      <c r="D6" s="89" t="s">
        <v>172</v>
      </c>
      <c r="E6" s="88">
        <v>10213350</v>
      </c>
      <c r="F6" s="89" t="s">
        <v>173</v>
      </c>
      <c r="G6" s="89" t="s">
        <v>174</v>
      </c>
      <c r="H6" s="89">
        <v>81973966424</v>
      </c>
      <c r="I6" s="89" t="s">
        <v>215</v>
      </c>
      <c r="J6" s="89" t="s">
        <v>177</v>
      </c>
      <c r="K6" s="89" t="s">
        <v>216</v>
      </c>
      <c r="L6" s="89">
        <v>1.97007052008012E+17</v>
      </c>
      <c r="M6" s="89" t="s">
        <v>217</v>
      </c>
      <c r="N6" s="89">
        <v>82176842135</v>
      </c>
      <c r="O6" s="89" t="s">
        <v>181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U6" s="88">
        <v>1</v>
      </c>
      <c r="V6" s="88">
        <v>1</v>
      </c>
      <c r="W6" s="90" t="s">
        <v>218</v>
      </c>
      <c r="X6" s="88">
        <v>1</v>
      </c>
      <c r="Y6" s="88">
        <v>1</v>
      </c>
      <c r="Z6" s="88">
        <v>0</v>
      </c>
      <c r="AA6" s="88">
        <v>0</v>
      </c>
      <c r="AB6" s="90" t="s">
        <v>219</v>
      </c>
      <c r="AC6" s="88">
        <v>1</v>
      </c>
      <c r="AD6" s="88">
        <v>0</v>
      </c>
      <c r="AE6" s="88">
        <v>1</v>
      </c>
      <c r="AF6" s="88">
        <v>1</v>
      </c>
      <c r="AG6" s="88">
        <v>0</v>
      </c>
      <c r="AH6" s="88">
        <v>0</v>
      </c>
      <c r="AI6" s="88">
        <v>0</v>
      </c>
      <c r="AJ6" s="88">
        <v>0</v>
      </c>
      <c r="AK6" s="90" t="s">
        <v>220</v>
      </c>
      <c r="AL6" s="91">
        <v>1</v>
      </c>
      <c r="AM6" s="91">
        <v>1</v>
      </c>
      <c r="AN6" s="91">
        <v>1</v>
      </c>
      <c r="AO6" s="88">
        <v>1</v>
      </c>
      <c r="AP6" s="91">
        <v>1</v>
      </c>
      <c r="AQ6" s="91">
        <v>1</v>
      </c>
      <c r="AR6" s="91">
        <v>1</v>
      </c>
      <c r="AS6" s="88">
        <v>0</v>
      </c>
      <c r="AT6" s="88">
        <v>0</v>
      </c>
      <c r="AU6" s="88">
        <v>0</v>
      </c>
      <c r="AV6" s="90" t="s">
        <v>221</v>
      </c>
      <c r="AW6" s="88">
        <v>1</v>
      </c>
      <c r="AX6" s="88">
        <v>1</v>
      </c>
      <c r="AY6" s="88">
        <v>0</v>
      </c>
      <c r="AZ6" s="88">
        <v>1</v>
      </c>
      <c r="BA6" s="90" t="s">
        <v>222</v>
      </c>
      <c r="BB6" s="92">
        <v>100</v>
      </c>
      <c r="BC6" s="93">
        <v>50</v>
      </c>
      <c r="BD6" s="94">
        <v>37.5</v>
      </c>
      <c r="BE6" s="95">
        <v>70</v>
      </c>
      <c r="BF6" s="96">
        <v>75</v>
      </c>
      <c r="BG6" s="97">
        <v>66.5</v>
      </c>
      <c r="BH6" s="89"/>
      <c r="BI6" s="89"/>
      <c r="BJ6" s="89"/>
      <c r="BK6" s="89"/>
    </row>
    <row r="7" spans="1:63" ht="159" thickBot="1" x14ac:dyDescent="0.35">
      <c r="A7" s="88" t="s">
        <v>223</v>
      </c>
      <c r="B7" s="89" t="s">
        <v>170</v>
      </c>
      <c r="C7" s="89" t="s">
        <v>171</v>
      </c>
      <c r="D7" s="89" t="s">
        <v>172</v>
      </c>
      <c r="E7" s="88">
        <v>10213350</v>
      </c>
      <c r="F7" s="89" t="s">
        <v>173</v>
      </c>
      <c r="G7" s="89" t="s">
        <v>174</v>
      </c>
      <c r="H7" s="89">
        <v>81973966424</v>
      </c>
      <c r="I7" s="89" t="s">
        <v>224</v>
      </c>
      <c r="J7" s="89" t="s">
        <v>177</v>
      </c>
      <c r="K7" s="89" t="s">
        <v>225</v>
      </c>
      <c r="L7" s="89">
        <v>1.98703022010012E+17</v>
      </c>
      <c r="M7" s="89" t="s">
        <v>192</v>
      </c>
      <c r="N7" s="89">
        <v>81360352013</v>
      </c>
      <c r="O7" s="89" t="s">
        <v>181</v>
      </c>
      <c r="P7" s="88">
        <v>1</v>
      </c>
      <c r="Q7" s="88">
        <v>1</v>
      </c>
      <c r="R7" s="88">
        <v>1</v>
      </c>
      <c r="S7" s="88">
        <v>1</v>
      </c>
      <c r="T7" s="88">
        <v>1</v>
      </c>
      <c r="U7" s="88">
        <v>1</v>
      </c>
      <c r="V7" s="88">
        <v>1</v>
      </c>
      <c r="W7" s="90" t="s">
        <v>226</v>
      </c>
      <c r="X7" s="88">
        <v>1</v>
      </c>
      <c r="Y7" s="88">
        <v>1</v>
      </c>
      <c r="Z7" s="88">
        <v>0</v>
      </c>
      <c r="AA7" s="88">
        <v>0</v>
      </c>
      <c r="AB7" s="90" t="s">
        <v>227</v>
      </c>
      <c r="AC7" s="88">
        <v>1</v>
      </c>
      <c r="AD7" s="88">
        <v>1</v>
      </c>
      <c r="AE7" s="88">
        <v>1</v>
      </c>
      <c r="AF7" s="88">
        <v>1</v>
      </c>
      <c r="AG7" s="88">
        <v>0</v>
      </c>
      <c r="AH7" s="88">
        <v>0</v>
      </c>
      <c r="AI7" s="88">
        <v>0</v>
      </c>
      <c r="AJ7" s="88">
        <v>0</v>
      </c>
      <c r="AK7" s="90" t="s">
        <v>228</v>
      </c>
      <c r="AL7" s="91">
        <v>1</v>
      </c>
      <c r="AM7" s="91">
        <v>1</v>
      </c>
      <c r="AN7" s="91">
        <v>1</v>
      </c>
      <c r="AO7" s="88">
        <v>1</v>
      </c>
      <c r="AP7" s="91">
        <v>1</v>
      </c>
      <c r="AQ7" s="91">
        <v>1</v>
      </c>
      <c r="AR7" s="91">
        <v>1</v>
      </c>
      <c r="AS7" s="88">
        <v>0</v>
      </c>
      <c r="AT7" s="88">
        <v>0</v>
      </c>
      <c r="AU7" s="88">
        <v>0</v>
      </c>
      <c r="AV7" s="90" t="s">
        <v>229</v>
      </c>
      <c r="AW7" s="88">
        <v>1</v>
      </c>
      <c r="AX7" s="88">
        <v>1</v>
      </c>
      <c r="AY7" s="88">
        <v>0</v>
      </c>
      <c r="AZ7" s="88">
        <v>1</v>
      </c>
      <c r="BA7" s="90" t="s">
        <v>230</v>
      </c>
      <c r="BB7" s="92">
        <v>100</v>
      </c>
      <c r="BC7" s="93">
        <v>50</v>
      </c>
      <c r="BD7" s="94">
        <v>50</v>
      </c>
      <c r="BE7" s="95">
        <v>70</v>
      </c>
      <c r="BF7" s="96">
        <v>75</v>
      </c>
      <c r="BG7" s="97">
        <v>69</v>
      </c>
      <c r="BH7" s="89"/>
      <c r="BI7" s="89"/>
      <c r="BJ7" s="89"/>
      <c r="BK7" s="89"/>
    </row>
    <row r="8" spans="1:63" ht="130.19999999999999" thickBot="1" x14ac:dyDescent="0.35">
      <c r="A8" s="88" t="s">
        <v>231</v>
      </c>
      <c r="B8" s="89" t="s">
        <v>170</v>
      </c>
      <c r="C8" s="89" t="s">
        <v>171</v>
      </c>
      <c r="D8" s="89" t="s">
        <v>172</v>
      </c>
      <c r="E8" s="88">
        <v>10213350</v>
      </c>
      <c r="F8" s="89" t="s">
        <v>188</v>
      </c>
      <c r="G8" s="89" t="s">
        <v>174</v>
      </c>
      <c r="H8" s="89">
        <v>81973966424</v>
      </c>
      <c r="I8" s="89" t="s">
        <v>232</v>
      </c>
      <c r="J8" s="89" t="s">
        <v>233</v>
      </c>
      <c r="K8" s="89" t="s">
        <v>234</v>
      </c>
      <c r="L8" s="89">
        <v>4341773674230060</v>
      </c>
      <c r="M8" s="89" t="s">
        <v>192</v>
      </c>
      <c r="N8" s="89" t="s">
        <v>235</v>
      </c>
      <c r="O8" s="89" t="s">
        <v>181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U8" s="88">
        <v>1</v>
      </c>
      <c r="V8" s="88">
        <v>1</v>
      </c>
      <c r="W8" s="90" t="s">
        <v>236</v>
      </c>
      <c r="X8" s="88">
        <v>1</v>
      </c>
      <c r="Y8" s="88">
        <v>1</v>
      </c>
      <c r="Z8" s="88">
        <v>1</v>
      </c>
      <c r="AA8" s="88">
        <v>1</v>
      </c>
      <c r="AB8" s="90" t="s">
        <v>237</v>
      </c>
      <c r="AC8" s="88">
        <v>0</v>
      </c>
      <c r="AD8" s="88">
        <v>1</v>
      </c>
      <c r="AE8" s="88">
        <v>1</v>
      </c>
      <c r="AF8" s="88">
        <v>1</v>
      </c>
      <c r="AG8" s="88">
        <v>0</v>
      </c>
      <c r="AH8" s="88">
        <v>0</v>
      </c>
      <c r="AI8" s="88">
        <v>0</v>
      </c>
      <c r="AJ8" s="88">
        <v>0</v>
      </c>
      <c r="AK8" s="90" t="s">
        <v>238</v>
      </c>
      <c r="AL8" s="91">
        <v>1</v>
      </c>
      <c r="AM8" s="91">
        <v>1</v>
      </c>
      <c r="AN8" s="91">
        <v>1</v>
      </c>
      <c r="AO8" s="88">
        <v>1</v>
      </c>
      <c r="AP8" s="91">
        <v>1</v>
      </c>
      <c r="AQ8" s="91">
        <v>1</v>
      </c>
      <c r="AR8" s="91">
        <v>1</v>
      </c>
      <c r="AS8" s="88">
        <v>0</v>
      </c>
      <c r="AT8" s="88">
        <v>0</v>
      </c>
      <c r="AU8" s="88">
        <v>0</v>
      </c>
      <c r="AV8" s="90" t="s">
        <v>239</v>
      </c>
      <c r="AW8" s="88">
        <v>1</v>
      </c>
      <c r="AX8" s="88">
        <v>1</v>
      </c>
      <c r="AY8" s="88">
        <v>0</v>
      </c>
      <c r="AZ8" s="88">
        <v>1</v>
      </c>
      <c r="BA8" s="90" t="s">
        <v>240</v>
      </c>
      <c r="BB8" s="92">
        <v>100</v>
      </c>
      <c r="BC8" s="93">
        <v>100</v>
      </c>
      <c r="BD8" s="94">
        <v>37.5</v>
      </c>
      <c r="BE8" s="95">
        <v>70</v>
      </c>
      <c r="BF8" s="96">
        <v>75</v>
      </c>
      <c r="BG8" s="97">
        <v>76.5</v>
      </c>
      <c r="BH8" s="89"/>
      <c r="BI8" s="89"/>
      <c r="BJ8" s="89"/>
      <c r="BK8" s="89"/>
    </row>
    <row r="9" spans="1:63" ht="173.4" thickBot="1" x14ac:dyDescent="0.35">
      <c r="A9" s="88" t="s">
        <v>241</v>
      </c>
      <c r="B9" s="89" t="s">
        <v>170</v>
      </c>
      <c r="C9" s="89" t="s">
        <v>171</v>
      </c>
      <c r="D9" s="89" t="s">
        <v>172</v>
      </c>
      <c r="E9" s="88">
        <v>10213350</v>
      </c>
      <c r="F9" s="89" t="s">
        <v>188</v>
      </c>
      <c r="G9" s="89" t="s">
        <v>174</v>
      </c>
      <c r="H9" s="89">
        <v>81973966424</v>
      </c>
      <c r="I9" s="89" t="s">
        <v>242</v>
      </c>
      <c r="J9" s="89" t="s">
        <v>207</v>
      </c>
      <c r="K9" s="89" t="s">
        <v>191</v>
      </c>
      <c r="L9" s="89">
        <v>1.9691220202221101E+17</v>
      </c>
      <c r="M9" s="89" t="s">
        <v>192</v>
      </c>
      <c r="N9" s="89" t="s">
        <v>243</v>
      </c>
      <c r="O9" s="89" t="s">
        <v>181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U9" s="88">
        <v>1</v>
      </c>
      <c r="V9" s="88">
        <v>1</v>
      </c>
      <c r="W9" s="90" t="s">
        <v>244</v>
      </c>
      <c r="X9" s="88">
        <v>1</v>
      </c>
      <c r="Y9" s="88">
        <v>1</v>
      </c>
      <c r="Z9" s="88">
        <v>0</v>
      </c>
      <c r="AA9" s="88">
        <v>0</v>
      </c>
      <c r="AB9" s="90" t="s">
        <v>245</v>
      </c>
      <c r="AC9" s="88">
        <v>1</v>
      </c>
      <c r="AD9" s="88">
        <v>0</v>
      </c>
      <c r="AE9" s="88">
        <v>1</v>
      </c>
      <c r="AF9" s="88">
        <v>1</v>
      </c>
      <c r="AG9" s="88">
        <v>0</v>
      </c>
      <c r="AH9" s="88">
        <v>0</v>
      </c>
      <c r="AI9" s="88">
        <v>0</v>
      </c>
      <c r="AJ9" s="88">
        <v>0</v>
      </c>
      <c r="AK9" s="90" t="s">
        <v>246</v>
      </c>
      <c r="AL9" s="91">
        <v>1</v>
      </c>
      <c r="AM9" s="91">
        <v>1</v>
      </c>
      <c r="AN9" s="91">
        <v>1</v>
      </c>
      <c r="AO9" s="88">
        <v>1</v>
      </c>
      <c r="AP9" s="91">
        <v>1</v>
      </c>
      <c r="AQ9" s="91">
        <v>1</v>
      </c>
      <c r="AR9" s="91">
        <v>1</v>
      </c>
      <c r="AS9" s="88">
        <v>1</v>
      </c>
      <c r="AT9" s="88">
        <v>0</v>
      </c>
      <c r="AU9" s="88">
        <v>1</v>
      </c>
      <c r="AV9" s="90" t="s">
        <v>247</v>
      </c>
      <c r="AW9" s="88">
        <v>1</v>
      </c>
      <c r="AX9" s="88">
        <v>1</v>
      </c>
      <c r="AY9" s="88">
        <v>0</v>
      </c>
      <c r="AZ9" s="88">
        <v>1</v>
      </c>
      <c r="BA9" s="90" t="s">
        <v>248</v>
      </c>
      <c r="BB9" s="92">
        <v>100</v>
      </c>
      <c r="BC9" s="93">
        <v>50</v>
      </c>
      <c r="BD9" s="94">
        <v>37.5</v>
      </c>
      <c r="BE9" s="95">
        <v>90</v>
      </c>
      <c r="BF9" s="96">
        <v>75</v>
      </c>
      <c r="BG9" s="97">
        <v>70.5</v>
      </c>
      <c r="BH9" s="89"/>
      <c r="BI9" s="89"/>
      <c r="BJ9" s="89"/>
      <c r="BK9" s="89"/>
    </row>
    <row r="10" spans="1:63" ht="159" thickBot="1" x14ac:dyDescent="0.35">
      <c r="A10" s="88" t="s">
        <v>249</v>
      </c>
      <c r="B10" s="89" t="s">
        <v>250</v>
      </c>
      <c r="C10" s="89" t="s">
        <v>171</v>
      </c>
      <c r="D10" s="89" t="s">
        <v>5</v>
      </c>
      <c r="E10" s="88">
        <v>10213907</v>
      </c>
      <c r="F10" s="89" t="s">
        <v>251</v>
      </c>
      <c r="G10" s="89" t="s">
        <v>252</v>
      </c>
      <c r="H10" s="89">
        <v>82329748050</v>
      </c>
      <c r="I10" s="89" t="s">
        <v>253</v>
      </c>
      <c r="J10" s="89" t="s">
        <v>177</v>
      </c>
      <c r="K10" s="89" t="s">
        <v>254</v>
      </c>
      <c r="L10" s="89" t="s">
        <v>255</v>
      </c>
      <c r="M10" s="89" t="s">
        <v>256</v>
      </c>
      <c r="N10" s="89">
        <v>82368018885</v>
      </c>
      <c r="O10" s="89" t="s">
        <v>181</v>
      </c>
      <c r="P10" s="88">
        <v>1</v>
      </c>
      <c r="Q10" s="88">
        <v>1</v>
      </c>
      <c r="R10" s="88">
        <v>1</v>
      </c>
      <c r="S10" s="88">
        <v>1</v>
      </c>
      <c r="T10" s="88">
        <v>1</v>
      </c>
      <c r="U10" s="88">
        <v>1</v>
      </c>
      <c r="V10" s="88">
        <v>1</v>
      </c>
      <c r="W10" s="90" t="s">
        <v>257</v>
      </c>
      <c r="X10" s="88">
        <v>1</v>
      </c>
      <c r="Y10" s="88">
        <v>1</v>
      </c>
      <c r="Z10" s="88">
        <v>1</v>
      </c>
      <c r="AA10" s="88">
        <v>1</v>
      </c>
      <c r="AB10" s="90" t="s">
        <v>258</v>
      </c>
      <c r="AC10" s="88">
        <v>0</v>
      </c>
      <c r="AD10" s="88">
        <v>1</v>
      </c>
      <c r="AE10" s="88">
        <v>1</v>
      </c>
      <c r="AF10" s="88">
        <v>0</v>
      </c>
      <c r="AG10" s="88">
        <v>0</v>
      </c>
      <c r="AH10" s="88">
        <v>0</v>
      </c>
      <c r="AI10" s="88">
        <v>1</v>
      </c>
      <c r="AJ10" s="88">
        <v>0</v>
      </c>
      <c r="AK10" s="90" t="s">
        <v>259</v>
      </c>
      <c r="AL10" s="91">
        <v>1</v>
      </c>
      <c r="AM10" s="91">
        <v>1</v>
      </c>
      <c r="AN10" s="91">
        <v>1</v>
      </c>
      <c r="AO10" s="88">
        <v>1</v>
      </c>
      <c r="AP10" s="91">
        <v>1</v>
      </c>
      <c r="AQ10" s="91">
        <v>1</v>
      </c>
      <c r="AR10" s="91">
        <v>1</v>
      </c>
      <c r="AS10" s="88">
        <v>0</v>
      </c>
      <c r="AT10" s="88">
        <v>0</v>
      </c>
      <c r="AU10" s="88">
        <v>0</v>
      </c>
      <c r="AV10" s="89" t="s">
        <v>234</v>
      </c>
      <c r="AW10" s="88">
        <v>1</v>
      </c>
      <c r="AX10" s="88">
        <v>1</v>
      </c>
      <c r="AY10" s="88">
        <v>1</v>
      </c>
      <c r="AZ10" s="88">
        <v>1</v>
      </c>
      <c r="BA10" s="90" t="s">
        <v>260</v>
      </c>
      <c r="BB10" s="92">
        <v>100</v>
      </c>
      <c r="BC10" s="93">
        <v>100</v>
      </c>
      <c r="BD10" s="94">
        <v>37.5</v>
      </c>
      <c r="BE10" s="95">
        <v>70</v>
      </c>
      <c r="BF10" s="96">
        <v>100</v>
      </c>
      <c r="BG10" s="97">
        <v>81.5</v>
      </c>
      <c r="BH10" s="89"/>
      <c r="BI10" s="89"/>
      <c r="BJ10" s="89"/>
      <c r="BK10" s="89"/>
    </row>
  </sheetData>
  <hyperlinks>
    <hyperlink ref="W2" r:id="rId1" xr:uid="{B6981BDC-7536-48FA-96B9-0067DE8C6222}"/>
    <hyperlink ref="AB2" r:id="rId2" xr:uid="{F67D3888-D480-4A96-BBDE-20423C96D3E0}"/>
    <hyperlink ref="AK2" r:id="rId3" xr:uid="{2F1B4F5E-50AA-4035-9530-D09D951C4180}"/>
    <hyperlink ref="AV2" r:id="rId4" xr:uid="{1EDF73A5-DD56-4BEB-A6E5-7EFD8050699F}"/>
    <hyperlink ref="BA2" r:id="rId5" xr:uid="{23312439-B8D6-4716-8DBC-E8796D3E6367}"/>
    <hyperlink ref="W3" r:id="rId6" xr:uid="{612152FA-1157-4F47-A201-8C98EBE19DDB}"/>
    <hyperlink ref="AB3" r:id="rId7" xr:uid="{5096CB12-FFCF-4010-8584-02BD51FDA43D}"/>
    <hyperlink ref="AK3" r:id="rId8" xr:uid="{71606B02-456C-4A97-94D4-7F4AA01AF2BF}"/>
    <hyperlink ref="AV3" r:id="rId9" xr:uid="{A6065499-8A6B-4068-AC96-2A515FA09A22}"/>
    <hyperlink ref="BA3" r:id="rId10" xr:uid="{D476BEA3-0EEE-4E17-9089-5EE0FEF7B9FF}"/>
    <hyperlink ref="W4" r:id="rId11" xr:uid="{9E52C6FC-0E0D-40EF-97A3-71D09EFE50D1}"/>
    <hyperlink ref="AB4" r:id="rId12" xr:uid="{A1EB541C-0D8F-4477-AA7A-A72EF411750B}"/>
    <hyperlink ref="AK4" r:id="rId13" xr:uid="{1B96C2FA-EC7E-415F-8A2E-401C5E73FA03}"/>
    <hyperlink ref="AV4" r:id="rId14" xr:uid="{D0C8B448-F91A-40E7-8A09-75C27C6F275D}"/>
    <hyperlink ref="BA4" r:id="rId15" xr:uid="{FBFDF0DC-807D-4D3E-B370-3DD2B97E702C}"/>
    <hyperlink ref="W5" r:id="rId16" xr:uid="{2D0D6A28-D752-4896-A09A-848E60F537BF}"/>
    <hyperlink ref="AB5" r:id="rId17" xr:uid="{7256FB74-6586-4C93-8EC7-BC1B6832F7D5}"/>
    <hyperlink ref="AK5" r:id="rId18" xr:uid="{F90F2635-C3A6-4379-BD00-3F4C27BDF1DA}"/>
    <hyperlink ref="AV5" r:id="rId19" xr:uid="{A4A2C832-D8AC-4CCE-9EB8-A00DAA634D34}"/>
    <hyperlink ref="BA5" r:id="rId20" xr:uid="{DDC44296-AF1A-48AF-9269-F5F5A1245665}"/>
    <hyperlink ref="W6" r:id="rId21" xr:uid="{05997A3E-47CA-4CA4-B507-05E5EFC2EC20}"/>
    <hyperlink ref="AB6" r:id="rId22" xr:uid="{D5BDF603-EA24-424F-9F57-B6015B56EB4A}"/>
    <hyperlink ref="AK6" r:id="rId23" xr:uid="{6B9556B1-0C23-43A5-971F-EB44761C91D5}"/>
    <hyperlink ref="AV6" r:id="rId24" xr:uid="{008DAF88-0F82-4557-B813-6F75398A2F37}"/>
    <hyperlink ref="BA6" r:id="rId25" xr:uid="{3B14AA61-C001-409B-8789-C5FAB084EF96}"/>
    <hyperlink ref="W7" r:id="rId26" xr:uid="{23C72C97-F40C-4052-9DEE-CF3B031A13AE}"/>
    <hyperlink ref="AB7" r:id="rId27" xr:uid="{A4686D19-89D7-4F50-B9A2-0B41B26CF65C}"/>
    <hyperlink ref="AK7" r:id="rId28" xr:uid="{DA7AC923-3FD4-4DF5-B3EF-C9724F0DC0B4}"/>
    <hyperlink ref="AV7" r:id="rId29" xr:uid="{F3AE8D49-B91D-4932-90D8-A12CFB7D65C1}"/>
    <hyperlink ref="BA7" r:id="rId30" xr:uid="{3B77C445-0705-41E7-9E4C-FA43DDBA5AF1}"/>
    <hyperlink ref="W8" r:id="rId31" xr:uid="{B0E6BF47-2BC6-4448-BE14-5C22C423931F}"/>
    <hyperlink ref="AB8" r:id="rId32" xr:uid="{C4C8CA22-4AE9-4F83-BA0D-476A1F652784}"/>
    <hyperlink ref="AK8" r:id="rId33" xr:uid="{35A5841B-8EE4-421E-9AFE-BC241ED1435F}"/>
    <hyperlink ref="AV8" r:id="rId34" xr:uid="{48C25AC5-208A-4C90-9811-59920286F87E}"/>
    <hyperlink ref="BA8" r:id="rId35" xr:uid="{7FFAC6C7-F282-4336-9D04-C71ECD755E0B}"/>
    <hyperlink ref="W9" r:id="rId36" xr:uid="{DC7B8542-077A-4BA5-A56E-1FAD9519AF16}"/>
    <hyperlink ref="AB9" r:id="rId37" xr:uid="{D346E87E-B8F0-4307-BF9B-5385BBBFB331}"/>
    <hyperlink ref="AK9" r:id="rId38" xr:uid="{4673D0A9-B145-4993-ABF2-D66A9716C83C}"/>
    <hyperlink ref="AV9" r:id="rId39" xr:uid="{F6ED7F44-D937-4991-B68A-C25579990D56}"/>
    <hyperlink ref="BA9" r:id="rId40" xr:uid="{3214C1F8-8A61-4984-AB20-D18E030C4C94}"/>
    <hyperlink ref="W10" r:id="rId41" xr:uid="{9A513C78-E534-46A7-BAC6-9F8560B6A7B9}"/>
    <hyperlink ref="AB10" r:id="rId42" xr:uid="{5C8D69DB-61D7-4090-B589-71B85D9B53D2}"/>
    <hyperlink ref="AK10" r:id="rId43" xr:uid="{D15A818F-56AE-413B-A204-A07D8198665D}"/>
    <hyperlink ref="BA10" r:id="rId44" xr:uid="{B9E649DC-EE6A-41D8-95C8-4894DA904AB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4E39-9FE0-47B1-B0D4-DDA71447C271}">
  <dimension ref="A1:I29"/>
  <sheetViews>
    <sheetView tabSelected="1" workbookViewId="0">
      <selection activeCell="Q13" sqref="Q13"/>
    </sheetView>
  </sheetViews>
  <sheetFormatPr defaultRowHeight="14.4" x14ac:dyDescent="0.3"/>
  <cols>
    <col min="3" max="3" width="2.33203125" customWidth="1"/>
    <col min="4" max="4" width="8.88671875" hidden="1" customWidth="1"/>
    <col min="5" max="5" width="24.33203125" customWidth="1"/>
    <col min="6" max="6" width="7.5546875" customWidth="1"/>
    <col min="9" max="9" width="16.33203125" customWidth="1"/>
  </cols>
  <sheetData>
    <row r="1" spans="1:9" ht="15.6" x14ac:dyDescent="0.3">
      <c r="A1" s="147"/>
      <c r="B1" s="148"/>
      <c r="C1" s="148"/>
      <c r="D1" s="98"/>
      <c r="E1" s="99" t="s">
        <v>261</v>
      </c>
      <c r="F1" s="100"/>
      <c r="G1" s="151"/>
      <c r="H1" s="151"/>
      <c r="I1" s="152"/>
    </row>
    <row r="2" spans="1:9" ht="15.6" x14ac:dyDescent="0.3">
      <c r="A2" s="149"/>
      <c r="B2" s="150"/>
      <c r="C2" s="150"/>
      <c r="D2" s="103"/>
      <c r="E2" s="104" t="s">
        <v>262</v>
      </c>
      <c r="F2" s="105"/>
      <c r="G2" s="153"/>
      <c r="H2" s="153"/>
      <c r="I2" s="154"/>
    </row>
    <row r="3" spans="1:9" ht="15.6" x14ac:dyDescent="0.3">
      <c r="A3" s="149"/>
      <c r="B3" s="150"/>
      <c r="C3" s="150"/>
      <c r="D3" s="103"/>
      <c r="E3" s="104" t="s">
        <v>263</v>
      </c>
      <c r="F3" s="105"/>
      <c r="G3" s="153"/>
      <c r="H3" s="153"/>
      <c r="I3" s="154"/>
    </row>
    <row r="4" spans="1:9" ht="15.6" x14ac:dyDescent="0.3">
      <c r="A4" s="149"/>
      <c r="B4" s="150"/>
      <c r="C4" s="150"/>
      <c r="D4" s="103"/>
      <c r="E4" s="104" t="s">
        <v>264</v>
      </c>
      <c r="F4" s="105"/>
      <c r="G4" s="153"/>
      <c r="H4" s="153"/>
      <c r="I4" s="154"/>
    </row>
    <row r="5" spans="1:9" ht="15.6" x14ac:dyDescent="0.3">
      <c r="A5" s="149"/>
      <c r="B5" s="150"/>
      <c r="C5" s="150"/>
      <c r="D5" s="103"/>
      <c r="E5" s="104" t="s">
        <v>265</v>
      </c>
      <c r="F5" s="105"/>
      <c r="G5" s="153"/>
      <c r="H5" s="153"/>
      <c r="I5" s="154"/>
    </row>
    <row r="6" spans="1:9" ht="15.6" x14ac:dyDescent="0.3">
      <c r="A6" s="149"/>
      <c r="B6" s="150"/>
      <c r="C6" s="150"/>
      <c r="D6" s="103"/>
      <c r="E6" s="104" t="s">
        <v>266</v>
      </c>
      <c r="F6" s="105"/>
      <c r="G6" s="153"/>
      <c r="H6" s="153"/>
      <c r="I6" s="154"/>
    </row>
    <row r="7" spans="1:9" ht="15.6" x14ac:dyDescent="0.3">
      <c r="A7" s="101"/>
      <c r="B7" s="102"/>
      <c r="C7" s="102"/>
      <c r="D7" s="103"/>
      <c r="E7" s="104" t="s">
        <v>267</v>
      </c>
      <c r="F7" s="105"/>
      <c r="G7" s="105"/>
      <c r="H7" s="105" t="s">
        <v>268</v>
      </c>
      <c r="I7" s="106"/>
    </row>
    <row r="8" spans="1:9" ht="16.2" thickBot="1" x14ac:dyDescent="0.35">
      <c r="A8" s="107"/>
      <c r="B8" s="108"/>
      <c r="C8" s="108"/>
      <c r="D8" s="109"/>
      <c r="E8" s="110" t="s">
        <v>269</v>
      </c>
      <c r="F8" s="111"/>
      <c r="G8" s="142"/>
      <c r="H8" s="142"/>
      <c r="I8" s="143"/>
    </row>
    <row r="9" spans="1:9" ht="16.2" thickBot="1" x14ac:dyDescent="0.35">
      <c r="A9" s="112"/>
      <c r="B9" s="112"/>
      <c r="C9" s="112"/>
      <c r="D9" s="112"/>
      <c r="E9" s="112"/>
      <c r="F9" s="112"/>
      <c r="G9" s="112"/>
      <c r="H9" s="112"/>
      <c r="I9" s="112"/>
    </row>
    <row r="10" spans="1:9" ht="31.8" thickBot="1" x14ac:dyDescent="0.35">
      <c r="A10" s="113" t="s">
        <v>270</v>
      </c>
      <c r="B10" s="144" t="s">
        <v>271</v>
      </c>
      <c r="C10" s="144"/>
      <c r="D10" s="144"/>
      <c r="E10" s="144"/>
      <c r="F10" s="144"/>
      <c r="G10" s="114" t="s">
        <v>272</v>
      </c>
      <c r="H10" s="114" t="s">
        <v>273</v>
      </c>
      <c r="I10" s="115" t="s">
        <v>274</v>
      </c>
    </row>
    <row r="11" spans="1:9" ht="31.2" x14ac:dyDescent="0.3">
      <c r="A11" s="116">
        <v>1</v>
      </c>
      <c r="B11" s="145" t="s">
        <v>275</v>
      </c>
      <c r="C11" s="145"/>
      <c r="D11" s="145"/>
      <c r="E11" s="145"/>
      <c r="F11" s="145"/>
      <c r="G11" s="117">
        <f>'[1]Ind PK'!D20</f>
        <v>0</v>
      </c>
      <c r="H11" s="118" t="str">
        <f t="shared" ref="H11:H16" si="0">IF(G11&gt;=80,"Sangat Baik",IF(G11&gt;=60,"Baik",IF(G11&gt;=40,"Cukup",IF(G11&gt;=20,"Kurang","Sangat Kurang"))))</f>
        <v>Sangat Kurang</v>
      </c>
      <c r="I11" s="119" t="s">
        <v>14</v>
      </c>
    </row>
    <row r="12" spans="1:9" ht="31.2" x14ac:dyDescent="0.3">
      <c r="A12" s="120">
        <v>2</v>
      </c>
      <c r="B12" s="146" t="s">
        <v>276</v>
      </c>
      <c r="C12" s="146"/>
      <c r="D12" s="146"/>
      <c r="E12" s="146"/>
      <c r="F12" s="146"/>
      <c r="G12" s="117">
        <f>'[1]Ind PK'!D26</f>
        <v>0</v>
      </c>
      <c r="H12" s="121" t="str">
        <f t="shared" si="0"/>
        <v>Sangat Kurang</v>
      </c>
      <c r="I12" s="122" t="s">
        <v>14</v>
      </c>
    </row>
    <row r="13" spans="1:9" ht="31.2" x14ac:dyDescent="0.3">
      <c r="A13" s="120">
        <v>3</v>
      </c>
      <c r="B13" s="146" t="s">
        <v>277</v>
      </c>
      <c r="C13" s="146"/>
      <c r="D13" s="146"/>
      <c r="E13" s="146"/>
      <c r="F13" s="146"/>
      <c r="G13" s="117">
        <f>'[1]Ind PK'!D36</f>
        <v>0</v>
      </c>
      <c r="H13" s="121" t="str">
        <f t="shared" si="0"/>
        <v>Sangat Kurang</v>
      </c>
      <c r="I13" s="122" t="s">
        <v>14</v>
      </c>
    </row>
    <row r="14" spans="1:9" ht="156" x14ac:dyDescent="0.3">
      <c r="A14" s="120">
        <v>4</v>
      </c>
      <c r="B14" s="146" t="s">
        <v>278</v>
      </c>
      <c r="C14" s="146"/>
      <c r="D14" s="146"/>
      <c r="E14" s="146"/>
      <c r="F14" s="146"/>
      <c r="G14" s="117">
        <f>'[1]Ind PK'!D48</f>
        <v>0</v>
      </c>
      <c r="H14" s="121" t="str">
        <f t="shared" si="0"/>
        <v>Sangat Kurang</v>
      </c>
      <c r="I14" s="122" t="s">
        <v>279</v>
      </c>
    </row>
    <row r="15" spans="1:9" ht="78.599999999999994" thickBot="1" x14ac:dyDescent="0.35">
      <c r="A15" s="123">
        <v>5</v>
      </c>
      <c r="B15" s="135" t="s">
        <v>280</v>
      </c>
      <c r="C15" s="135"/>
      <c r="D15" s="135"/>
      <c r="E15" s="135"/>
      <c r="F15" s="135"/>
      <c r="G15" s="124">
        <f>'[1]Ind PK'!D54</f>
        <v>0</v>
      </c>
      <c r="H15" s="125" t="str">
        <f t="shared" si="0"/>
        <v>Sangat Kurang</v>
      </c>
      <c r="I15" s="126" t="s">
        <v>281</v>
      </c>
    </row>
    <row r="16" spans="1:9" ht="31.8" thickBot="1" x14ac:dyDescent="0.35">
      <c r="A16" s="136" t="s">
        <v>282</v>
      </c>
      <c r="B16" s="137"/>
      <c r="C16" s="137"/>
      <c r="D16" s="137"/>
      <c r="E16" s="137"/>
      <c r="F16" s="137"/>
      <c r="G16" s="127">
        <f>AVERAGE(G11:G15)</f>
        <v>0</v>
      </c>
      <c r="H16" s="128" t="str">
        <f t="shared" si="0"/>
        <v>Sangat Kurang</v>
      </c>
      <c r="I16" s="129"/>
    </row>
    <row r="17" spans="1:9" ht="15.6" x14ac:dyDescent="0.3">
      <c r="A17" s="102"/>
      <c r="B17" s="102"/>
      <c r="C17" s="102"/>
      <c r="D17" s="102"/>
      <c r="E17" s="102"/>
      <c r="F17" s="102"/>
      <c r="G17" s="130"/>
      <c r="H17" s="131"/>
      <c r="I17" s="132"/>
    </row>
    <row r="18" spans="1:9" ht="15.6" x14ac:dyDescent="0.3">
      <c r="A18" s="138" t="s">
        <v>283</v>
      </c>
      <c r="B18" s="138"/>
      <c r="C18" s="138"/>
      <c r="D18" s="138"/>
      <c r="E18" s="138"/>
      <c r="F18" s="138"/>
      <c r="G18" s="138"/>
      <c r="H18" s="138"/>
      <c r="I18" s="138"/>
    </row>
    <row r="19" spans="1:9" ht="15.6" x14ac:dyDescent="0.3">
      <c r="A19" s="139" t="s">
        <v>284</v>
      </c>
      <c r="B19" s="139"/>
      <c r="C19" s="139"/>
      <c r="D19" s="139"/>
      <c r="E19" s="139"/>
      <c r="F19" s="139"/>
      <c r="G19" s="139"/>
      <c r="H19" s="139"/>
      <c r="I19" s="139"/>
    </row>
    <row r="20" spans="1:9" ht="15.6" x14ac:dyDescent="0.3">
      <c r="A20" s="133"/>
      <c r="B20" s="133"/>
      <c r="C20" s="133"/>
      <c r="D20" s="133"/>
      <c r="E20" s="133"/>
      <c r="F20" s="133"/>
      <c r="G20" s="133"/>
      <c r="H20" s="133"/>
      <c r="I20" s="133"/>
    </row>
    <row r="21" spans="1:9" ht="15.6" x14ac:dyDescent="0.3">
      <c r="A21" s="140" t="s">
        <v>285</v>
      </c>
      <c r="B21" s="140"/>
      <c r="C21" s="140"/>
      <c r="D21" s="140"/>
      <c r="E21" s="140"/>
      <c r="F21" s="140"/>
      <c r="G21" s="140"/>
      <c r="H21" s="140"/>
      <c r="I21" s="140"/>
    </row>
    <row r="22" spans="1:9" ht="15.6" x14ac:dyDescent="0.3">
      <c r="A22" s="112"/>
      <c r="B22" s="112"/>
      <c r="C22" s="112"/>
      <c r="D22" s="112"/>
      <c r="E22" s="112"/>
      <c r="F22" s="112"/>
      <c r="G22" s="112"/>
      <c r="H22" s="112"/>
      <c r="I22" s="112"/>
    </row>
    <row r="23" spans="1:9" ht="15.6" x14ac:dyDescent="0.3">
      <c r="A23" s="112" t="s">
        <v>286</v>
      </c>
      <c r="B23" s="112"/>
      <c r="C23" s="112"/>
      <c r="D23" s="112" t="s">
        <v>4</v>
      </c>
      <c r="E23" s="141">
        <f>G2</f>
        <v>0</v>
      </c>
      <c r="F23" s="112" t="s">
        <v>287</v>
      </c>
      <c r="G23" s="112"/>
      <c r="H23" s="112"/>
      <c r="I23" s="141" t="str">
        <f>'[1]Input Data Guru'!D4</f>
        <v>:</v>
      </c>
    </row>
    <row r="24" spans="1:9" ht="15.6" x14ac:dyDescent="0.3">
      <c r="A24" s="112"/>
      <c r="B24" s="112"/>
      <c r="C24" s="112"/>
      <c r="D24" s="112"/>
      <c r="E24" s="141"/>
      <c r="F24" s="112"/>
      <c r="G24" s="112"/>
      <c r="H24" s="112"/>
      <c r="I24" s="141"/>
    </row>
    <row r="25" spans="1:9" ht="15.6" x14ac:dyDescent="0.3">
      <c r="A25" s="112"/>
      <c r="B25" s="112"/>
      <c r="C25" s="112"/>
      <c r="D25" s="112"/>
      <c r="E25" s="134"/>
      <c r="F25" s="112"/>
      <c r="G25" s="112"/>
      <c r="H25" s="112"/>
      <c r="I25" s="134"/>
    </row>
    <row r="26" spans="1:9" ht="15.6" x14ac:dyDescent="0.3">
      <c r="A26" s="112"/>
      <c r="B26" s="112"/>
      <c r="C26" s="112"/>
      <c r="D26" s="112"/>
      <c r="E26" s="112"/>
      <c r="F26" s="112"/>
      <c r="G26" s="112"/>
      <c r="H26" s="112"/>
      <c r="I26" s="112"/>
    </row>
    <row r="27" spans="1:9" ht="15.6" x14ac:dyDescent="0.3">
      <c r="A27" s="112"/>
      <c r="B27" s="112"/>
      <c r="C27" s="112"/>
      <c r="D27" s="112"/>
      <c r="E27" s="112"/>
      <c r="F27" s="112"/>
      <c r="G27" s="112"/>
      <c r="H27" s="112"/>
      <c r="I27" s="112"/>
    </row>
    <row r="28" spans="1:9" ht="15.6" x14ac:dyDescent="0.3">
      <c r="A28" s="112" t="s">
        <v>288</v>
      </c>
      <c r="B28" s="112"/>
      <c r="C28" s="112"/>
      <c r="D28" s="112"/>
      <c r="E28" s="112"/>
      <c r="F28" s="112" t="s">
        <v>288</v>
      </c>
      <c r="G28" s="112"/>
      <c r="H28" s="112"/>
      <c r="I28" s="112"/>
    </row>
    <row r="29" spans="1:9" ht="15.6" x14ac:dyDescent="0.3">
      <c r="A29" s="112"/>
      <c r="B29" s="112"/>
      <c r="C29" s="112"/>
      <c r="D29" s="112"/>
      <c r="E29" s="112"/>
      <c r="F29" s="112"/>
      <c r="G29" s="112"/>
      <c r="H29" s="112"/>
      <c r="I29" s="112"/>
    </row>
  </sheetData>
  <mergeCells count="20">
    <mergeCell ref="A1:C6"/>
    <mergeCell ref="G1:I1"/>
    <mergeCell ref="G2:I2"/>
    <mergeCell ref="G3:I3"/>
    <mergeCell ref="G4:I4"/>
    <mergeCell ref="G5:I5"/>
    <mergeCell ref="G6:I6"/>
    <mergeCell ref="E23:E24"/>
    <mergeCell ref="I23:I24"/>
    <mergeCell ref="G8:I8"/>
    <mergeCell ref="B10:F10"/>
    <mergeCell ref="B11:F11"/>
    <mergeCell ref="B12:F12"/>
    <mergeCell ref="B13:F13"/>
    <mergeCell ref="B14:F14"/>
    <mergeCell ref="B15:F15"/>
    <mergeCell ref="A16:F16"/>
    <mergeCell ref="A18:I18"/>
    <mergeCell ref="A19:I19"/>
    <mergeCell ref="A21:I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format rapor</vt:lpstr>
      <vt:lpstr>data penilaian KS SD dan SMP</vt:lpstr>
      <vt:lpstr>Data penilaian KS Paud</vt:lpstr>
      <vt:lpstr>Data penilaian Guru</vt:lpstr>
      <vt:lpstr>rapor 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WANDA ARI REBOWO</cp:lastModifiedBy>
  <dcterms:created xsi:type="dcterms:W3CDTF">2015-06-05T18:17:20Z</dcterms:created>
  <dcterms:modified xsi:type="dcterms:W3CDTF">2026-06-10T18:42:17Z</dcterms:modified>
</cp:coreProperties>
</file>